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4828cdb8545dbb/Desktop/"/>
    </mc:Choice>
  </mc:AlternateContent>
  <xr:revisionPtr revIDLastSave="781" documentId="8_{6372F3B9-84DB-4E0D-87E2-A0EA438C96AC}" xr6:coauthVersionLast="47" xr6:coauthVersionMax="47" xr10:uidLastSave="{4348D39D-2EAF-4148-A0F8-56100795CF2F}"/>
  <bookViews>
    <workbookView xWindow="-120" yWindow="-120" windowWidth="29040" windowHeight="15720" xr2:uid="{DE3296B8-BECC-4F96-AD65-5AE168038DF4}"/>
  </bookViews>
  <sheets>
    <sheet name="Foglio1" sheetId="1" r:id="rId1"/>
  </sheets>
  <definedNames>
    <definedName name="_xlnm._FilterDatabase" localSheetId="0" hidden="1">Foglio1!$B$2:$I$2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9" i="1" l="1"/>
  <c r="I139" i="1" s="1"/>
  <c r="H138" i="1"/>
  <c r="I138" i="1" s="1"/>
  <c r="H136" i="1"/>
  <c r="I136" i="1" s="1"/>
  <c r="H134" i="1"/>
  <c r="I134" i="1" s="1"/>
  <c r="H132" i="1"/>
  <c r="I132" i="1" s="1"/>
  <c r="I124" i="1"/>
  <c r="I125" i="1"/>
  <c r="I126" i="1"/>
  <c r="I127" i="1"/>
  <c r="I128" i="1"/>
  <c r="I133" i="1"/>
  <c r="I135" i="1"/>
  <c r="I137" i="1"/>
  <c r="I140" i="1"/>
  <c r="I141" i="1"/>
  <c r="H130" i="1"/>
  <c r="I130" i="1" s="1"/>
  <c r="I112" i="1"/>
  <c r="I113" i="1"/>
  <c r="I142" i="1"/>
  <c r="H131" i="1"/>
  <c r="I131" i="1" s="1"/>
  <c r="H129" i="1"/>
  <c r="I129" i="1" s="1"/>
  <c r="H123" i="1"/>
  <c r="I123" i="1" s="1"/>
  <c r="H99" i="1"/>
  <c r="I99" i="1" s="1"/>
  <c r="H98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F98" i="1"/>
  <c r="H97" i="1"/>
  <c r="I97" i="1" s="1"/>
  <c r="H96" i="1"/>
  <c r="I96" i="1" s="1"/>
  <c r="H95" i="1"/>
  <c r="I95" i="1"/>
  <c r="H94" i="1"/>
  <c r="I94" i="1" s="1"/>
  <c r="H93" i="1"/>
  <c r="I93" i="1" s="1"/>
  <c r="H88" i="1"/>
  <c r="I88" i="1" s="1"/>
  <c r="H87" i="1"/>
  <c r="I87" i="1" s="1"/>
  <c r="H86" i="1"/>
  <c r="I86" i="1" s="1"/>
  <c r="I85" i="1"/>
  <c r="I89" i="1"/>
  <c r="I90" i="1"/>
  <c r="I91" i="1"/>
  <c r="I92" i="1"/>
  <c r="H85" i="1"/>
  <c r="H84" i="1"/>
  <c r="I84" i="1" s="1"/>
  <c r="H83" i="1"/>
  <c r="I83" i="1" s="1"/>
  <c r="H82" i="1"/>
  <c r="I82" i="1" s="1"/>
  <c r="H81" i="1"/>
  <c r="I81" i="1" s="1"/>
  <c r="H80" i="1"/>
  <c r="I80" i="1" s="1"/>
  <c r="H33" i="1"/>
  <c r="I33" i="1" s="1"/>
  <c r="H32" i="1"/>
  <c r="I32" i="1" s="1"/>
  <c r="H17" i="1"/>
  <c r="I17" i="1" s="1"/>
  <c r="H15" i="1"/>
  <c r="I15" i="1" s="1"/>
  <c r="H19" i="1"/>
  <c r="I19" i="1" s="1"/>
  <c r="H9" i="1"/>
  <c r="I9" i="1" s="1"/>
  <c r="H10" i="1"/>
  <c r="I10" i="1" s="1"/>
  <c r="H11" i="1"/>
  <c r="I11" i="1" s="1"/>
  <c r="H8" i="1"/>
  <c r="I8" i="1" s="1"/>
  <c r="H7" i="1"/>
  <c r="I7" i="1" s="1"/>
  <c r="H14" i="1"/>
  <c r="I14" i="1" s="1"/>
  <c r="H21" i="1"/>
  <c r="I21" i="1" s="1"/>
  <c r="H20" i="1"/>
  <c r="I20" i="1" s="1"/>
  <c r="H18" i="1"/>
  <c r="I18" i="1" s="1"/>
  <c r="I47" i="1"/>
  <c r="I12" i="1"/>
  <c r="I13" i="1"/>
  <c r="I16" i="1"/>
  <c r="I22" i="1"/>
  <c r="I23" i="1"/>
  <c r="I24" i="1"/>
  <c r="I25" i="1"/>
  <c r="I26" i="1"/>
  <c r="I27" i="1"/>
  <c r="I28" i="1"/>
  <c r="I29" i="1"/>
  <c r="I30" i="1"/>
  <c r="I31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H6" i="1"/>
  <c r="I6" i="1" s="1"/>
  <c r="H5" i="1"/>
  <c r="I5" i="1" s="1"/>
  <c r="H4" i="1"/>
  <c r="I4" i="1" s="1"/>
  <c r="H3" i="1"/>
  <c r="I3" i="1" s="1"/>
  <c r="H117" i="1"/>
  <c r="I117" i="1" s="1"/>
  <c r="I182" i="1"/>
  <c r="I183" i="1"/>
  <c r="I184" i="1"/>
  <c r="I185" i="1"/>
  <c r="I186" i="1"/>
  <c r="I187" i="1"/>
  <c r="I114" i="1"/>
  <c r="I115" i="1"/>
  <c r="I116" i="1"/>
  <c r="I118" i="1"/>
  <c r="I119" i="1"/>
  <c r="I120" i="1"/>
  <c r="I121" i="1"/>
  <c r="I122" i="1"/>
  <c r="I181" i="1"/>
  <c r="I180" i="1"/>
  <c r="I179" i="1"/>
  <c r="I178" i="1"/>
  <c r="I177" i="1"/>
  <c r="I176" i="1"/>
  <c r="H166" i="1"/>
  <c r="I166" i="1" s="1"/>
  <c r="H165" i="1"/>
  <c r="I165" i="1" s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7" i="1"/>
  <c r="I168" i="1"/>
  <c r="I169" i="1"/>
  <c r="I170" i="1"/>
  <c r="I171" i="1"/>
  <c r="I172" i="1"/>
  <c r="I173" i="1"/>
  <c r="I174" i="1"/>
  <c r="I175" i="1"/>
  <c r="I144" i="1"/>
  <c r="I143" i="1"/>
  <c r="I98" i="1" l="1"/>
  <c r="I1" i="1" s="1"/>
</calcChain>
</file>

<file path=xl/sharedStrings.xml><?xml version="1.0" encoding="utf-8"?>
<sst xmlns="http://schemas.openxmlformats.org/spreadsheetml/2006/main" count="923" uniqueCount="243">
  <si>
    <t>Reparto</t>
  </si>
  <si>
    <t>Cucina</t>
  </si>
  <si>
    <t>SottoReparto</t>
  </si>
  <si>
    <t>Salumi</t>
  </si>
  <si>
    <t>Fornitore</t>
  </si>
  <si>
    <t>peso</t>
  </si>
  <si>
    <t>Costo</t>
  </si>
  <si>
    <t>Totale</t>
  </si>
  <si>
    <t>EsseBi</t>
  </si>
  <si>
    <t>Prodotto</t>
  </si>
  <si>
    <t>Mattonella Lav. A metà</t>
  </si>
  <si>
    <t xml:space="preserve">Mortadella </t>
  </si>
  <si>
    <t>SIDAL</t>
  </si>
  <si>
    <t>Salame Napoli</t>
  </si>
  <si>
    <t>Pancetta Stesa</t>
  </si>
  <si>
    <t>Prosciutto Cotto</t>
  </si>
  <si>
    <t>Formaggi</t>
  </si>
  <si>
    <t>PECORINO PIENZA NERO</t>
  </si>
  <si>
    <t>GRANA PADANO 10-12 MESI DOP</t>
  </si>
  <si>
    <t>Polo</t>
  </si>
  <si>
    <t>Mascarpone  500 Gr</t>
  </si>
  <si>
    <t>Burro 1 Kg Performance</t>
  </si>
  <si>
    <t>CIOCCOLATO FONDENTE 1 KG</t>
  </si>
  <si>
    <t>Dolci</t>
  </si>
  <si>
    <t>NDUJA</t>
  </si>
  <si>
    <t>Bacon</t>
  </si>
  <si>
    <t>Cheddar a fette</t>
  </si>
  <si>
    <t>Salse</t>
  </si>
  <si>
    <t>Maionese 5 Kg</t>
  </si>
  <si>
    <t>Crema al Pisacchio DEMETRA</t>
  </si>
  <si>
    <t>Crema al Tarufo Perfomance</t>
  </si>
  <si>
    <t>Salsa Burger</t>
  </si>
  <si>
    <t xml:space="preserve">Senape </t>
  </si>
  <si>
    <t>Salsa DIP</t>
  </si>
  <si>
    <t>Salsa BBQ</t>
  </si>
  <si>
    <t>Salsa Guacamole BIFFI</t>
  </si>
  <si>
    <t>Panna Cotta CAMEL</t>
  </si>
  <si>
    <t>Apetizer</t>
  </si>
  <si>
    <t>Patate fritte Lambweston 6x6</t>
  </si>
  <si>
    <t>Burger</t>
  </si>
  <si>
    <t>Veggie Burger Salomon</t>
  </si>
  <si>
    <t>Pizza</t>
  </si>
  <si>
    <t>Base senza Glutine</t>
  </si>
  <si>
    <t>Alette di Pollo DIA</t>
  </si>
  <si>
    <t>Mozzarella Stick</t>
  </si>
  <si>
    <t>Anello di Cipolla</t>
  </si>
  <si>
    <t>Jalapenso</t>
  </si>
  <si>
    <t>Carni</t>
  </si>
  <si>
    <t>Condimenti</t>
  </si>
  <si>
    <t>Olio EVO</t>
  </si>
  <si>
    <t>GRAN PESTO GENOVESE TIGULLIO</t>
  </si>
  <si>
    <t>Tonno 80 gr</t>
  </si>
  <si>
    <t>Panificati</t>
  </si>
  <si>
    <t>Tortilla Durum</t>
  </si>
  <si>
    <t>Nacho's Amica Chips 200 gr</t>
  </si>
  <si>
    <t>Nutella 3 Kg</t>
  </si>
  <si>
    <t>Pinsa 250 gr</t>
  </si>
  <si>
    <t>Pala 650 gr</t>
  </si>
  <si>
    <t>Pulled Pork n. prod</t>
  </si>
  <si>
    <t>Stinco Suino</t>
  </si>
  <si>
    <t>Tortino al cioccolato ns prod.</t>
  </si>
  <si>
    <t>Carne</t>
  </si>
  <si>
    <t>Chili ns prod.</t>
  </si>
  <si>
    <t>Hamburger</t>
  </si>
  <si>
    <t>Consumabili</t>
  </si>
  <si>
    <t>Altro</t>
  </si>
  <si>
    <t>Pirottino in Alluminio T8 Performance x 100</t>
  </si>
  <si>
    <t>Contenitori</t>
  </si>
  <si>
    <t>Pomodoro Ardita</t>
  </si>
  <si>
    <t>VASSOIO CARTONCINO ANTIGRAS.12X16CM PZ50</t>
  </si>
  <si>
    <t>Montechimica</t>
  </si>
  <si>
    <t>VASSOIO CARTONCINO ANTIGR.21,5X18CM PZ50</t>
  </si>
  <si>
    <t>BICCHIERI PER PATATINE 50 pzX20</t>
  </si>
  <si>
    <t>SGRASSATORE MATRIX 750 ML</t>
  </si>
  <si>
    <t>Detergenti</t>
  </si>
  <si>
    <t>BRILLANTANTE MATRIX 5 KG</t>
  </si>
  <si>
    <t>LAVASTOVIGLIE DETERGENTE MATRIX 5,5 KG</t>
  </si>
  <si>
    <t>DETERSIVO PIATTI MATRIX 5 KG</t>
  </si>
  <si>
    <t>DTERSIVO UNOX CONF.10 BOTTIGLIE DA 1L</t>
  </si>
  <si>
    <t>Tagòiagambe</t>
  </si>
  <si>
    <t>Beverage</t>
  </si>
  <si>
    <t>Acque</t>
  </si>
  <si>
    <t>Glou Glou</t>
  </si>
  <si>
    <t>Levissima naturale 0,5 lt</t>
  </si>
  <si>
    <t>Levissima gasssata 0,5 lt</t>
  </si>
  <si>
    <t>Levissima naturale 1 lt</t>
  </si>
  <si>
    <t>Levissima gassata 1 lt</t>
  </si>
  <si>
    <t>Bibite</t>
  </si>
  <si>
    <t>Coca Cola 0,45 lt</t>
  </si>
  <si>
    <t>Coca Cola 1,5 lt</t>
  </si>
  <si>
    <t>Fanta 0,45 lt</t>
  </si>
  <si>
    <t>Fanta Lemon 0,45 lt</t>
  </si>
  <si>
    <t>Coca Zero 0,45 lt</t>
  </si>
  <si>
    <t>Lurisia varie</t>
  </si>
  <si>
    <t>Red Bull</t>
  </si>
  <si>
    <t>Energy Drink</t>
  </si>
  <si>
    <t>Esta Thè Pesca 1,5 lt</t>
  </si>
  <si>
    <t>Analcolici</t>
  </si>
  <si>
    <t>San Bitter</t>
  </si>
  <si>
    <t>Ginger Beer</t>
  </si>
  <si>
    <t>Ginger Ale</t>
  </si>
  <si>
    <t>Succhi</t>
  </si>
  <si>
    <t>Ananas lt</t>
  </si>
  <si>
    <t>Pera lt</t>
  </si>
  <si>
    <t>Arancia lt</t>
  </si>
  <si>
    <t>Scirioppi</t>
  </si>
  <si>
    <t>Zucchero</t>
  </si>
  <si>
    <t>Fragola</t>
  </si>
  <si>
    <t>Cocco</t>
  </si>
  <si>
    <t>Granatina</t>
  </si>
  <si>
    <t>Passion Fruit</t>
  </si>
  <si>
    <t>Sweet &amp; Sour</t>
  </si>
  <si>
    <t>Aperitivi</t>
  </si>
  <si>
    <t>Campari Soda</t>
  </si>
  <si>
    <t>Sprite 0,45 lt</t>
  </si>
  <si>
    <t>Liquori</t>
  </si>
  <si>
    <t>Ponce Mandarino</t>
  </si>
  <si>
    <t xml:space="preserve">Sambuca molinari </t>
  </si>
  <si>
    <t>Kahlua</t>
  </si>
  <si>
    <t>Martini Rosso</t>
  </si>
  <si>
    <t>Amaro Averna</t>
  </si>
  <si>
    <t>Jagermaister</t>
  </si>
  <si>
    <t>Baylei's</t>
  </si>
  <si>
    <t>Rum Kraken</t>
  </si>
  <si>
    <t>Rum Diplomatico Mantuano</t>
  </si>
  <si>
    <t>Cachaca</t>
  </si>
  <si>
    <t>Grappa Belluva Bariccata</t>
  </si>
  <si>
    <t>Grappa Belluva Bianca</t>
  </si>
  <si>
    <t>Gin Bulldog</t>
  </si>
  <si>
    <t>Gin Tanqueray Ten</t>
  </si>
  <si>
    <t>Gin Tanqueray Lime</t>
  </si>
  <si>
    <t>Gin Mare</t>
  </si>
  <si>
    <t>Gin Roku</t>
  </si>
  <si>
    <t>Jack Danile's Honey</t>
  </si>
  <si>
    <t>Jack Danile's Apple</t>
  </si>
  <si>
    <t xml:space="preserve">Jack Danile's  </t>
  </si>
  <si>
    <t xml:space="preserve">Wild Turkey </t>
  </si>
  <si>
    <t>Busker</t>
  </si>
  <si>
    <t>Gin Santoni</t>
  </si>
  <si>
    <t>Campari</t>
  </si>
  <si>
    <t>Triple Sec Bol's</t>
  </si>
  <si>
    <t>Absolute Vodka</t>
  </si>
  <si>
    <t>Aperol</t>
  </si>
  <si>
    <t>Tequila Espolon</t>
  </si>
  <si>
    <t>Vodka Pesca Iceberg</t>
  </si>
  <si>
    <t>Vodka Fragola Iceberg</t>
  </si>
  <si>
    <t>Malibu</t>
  </si>
  <si>
    <t>Rum Pampero Scuro</t>
  </si>
  <si>
    <t>Rum Barcelo Blanco</t>
  </si>
  <si>
    <t>Blu Curacao Bol'sSathenay Sambuco</t>
  </si>
  <si>
    <t>Amaro Montenegro</t>
  </si>
  <si>
    <t>Limoncello</t>
  </si>
  <si>
    <t>Amaro Tattico</t>
  </si>
  <si>
    <t>Triple Sec Ciemme</t>
  </si>
  <si>
    <t>Rum Diplomatico Riserva</t>
  </si>
  <si>
    <t>Gran Marnier</t>
  </si>
  <si>
    <t>Acqua Brillante Recoaro vetro 0,20 lt</t>
  </si>
  <si>
    <t>Acqua Brillante  Recoaro Litro</t>
  </si>
  <si>
    <t>ACQUA DI SELTZ REVOLTOSA SIFONE L1,5</t>
  </si>
  <si>
    <t>Esta Thè Pesca 0,4 lt</t>
  </si>
  <si>
    <t>Esta Thè Limone 0,4 lt</t>
  </si>
  <si>
    <t>Jack Danile's Fire</t>
  </si>
  <si>
    <t>Prinz</t>
  </si>
  <si>
    <t>Sathenay Sambuco</t>
  </si>
  <si>
    <t>Amaro del Capo 1,5 lt</t>
  </si>
  <si>
    <t>Birre in Fusti</t>
  </si>
  <si>
    <t>Bud 30 lt</t>
  </si>
  <si>
    <t>Maisel 30 lt</t>
  </si>
  <si>
    <t xml:space="preserve">Dolomiti non filtrata 24 lt </t>
  </si>
  <si>
    <t>Birre in Bottiglia</t>
  </si>
  <si>
    <t xml:space="preserve">Heineken </t>
  </si>
  <si>
    <t>Ichnuesa</t>
  </si>
  <si>
    <t>HACKER MUN. DUNKEL VAR 50 clX 24</t>
  </si>
  <si>
    <t>HACKER WEISSE VAR 50 CL X 24</t>
  </si>
  <si>
    <t>KAPUZINER WEISSEMCL 50 X 20</t>
  </si>
  <si>
    <t>Leffe Rossa</t>
  </si>
  <si>
    <t>Dolimiti Pils</t>
  </si>
  <si>
    <t>Tennent's</t>
  </si>
  <si>
    <t>Corona</t>
  </si>
  <si>
    <t>Vini e Spumanti</t>
  </si>
  <si>
    <t>O.V.D.</t>
  </si>
  <si>
    <t>PROSECCO MILLESIMATO ROSE' 11% 75cl</t>
  </si>
  <si>
    <t>PROSECCO MILLESIMATO BRUT SPUM. 11% 75 cl</t>
  </si>
  <si>
    <t>PROSECCO DOC TREVISO BRUT 11% 75 cl</t>
  </si>
  <si>
    <t>BOTTEGA RIBOLLA GIALLA SPUMANTE 75 cl</t>
  </si>
  <si>
    <t>SPUM. PROSECCO VALD. DAMA DOCG 75 cl X 6</t>
  </si>
  <si>
    <t>VINO BIANCO VERMENTINO IGT 75 cl STG COLLESANO X 6 BOTT.</t>
  </si>
  <si>
    <t>VINO MORELLINO DI SCANSANNO IGT 75 cl STG COLLESANO X 6 BOTT</t>
  </si>
  <si>
    <t>VINO ROSSO TOSCANO IGT 75 cl STG CASAL DI LEO X 6 BOTT.</t>
  </si>
  <si>
    <t>VINO PASSERINA IGT COLLI PESCARESI 75 cl STG LAUDET TERRE DI POGGIO x 6</t>
  </si>
  <si>
    <t>Caffetteria</t>
  </si>
  <si>
    <t>Caffè Corposo</t>
  </si>
  <si>
    <t>Caffè Decaffeninato</t>
  </si>
  <si>
    <t>Zucchero di Canna</t>
  </si>
  <si>
    <t>Zucchero Bianco</t>
  </si>
  <si>
    <t>Dieteico</t>
  </si>
  <si>
    <t>Kit Kat/Snickers/M&amp;M'S</t>
  </si>
  <si>
    <t>Lay's Patatine</t>
  </si>
  <si>
    <t>Biscotti nostra produzione</t>
  </si>
  <si>
    <t>Frutta</t>
  </si>
  <si>
    <t>Patatine Aperitivo</t>
  </si>
  <si>
    <t>Arachidi Aperitivo</t>
  </si>
  <si>
    <t>oli e condimenti</t>
  </si>
  <si>
    <t>Topping vari</t>
  </si>
  <si>
    <t>Nutella3 Kg</t>
  </si>
  <si>
    <t>Nostra</t>
  </si>
  <si>
    <t>U.M</t>
  </si>
  <si>
    <t>Kg</t>
  </si>
  <si>
    <t>Un</t>
  </si>
  <si>
    <t xml:space="preserve">Pollo  </t>
  </si>
  <si>
    <t>Lt</t>
  </si>
  <si>
    <t>Fagioi Red Kidney</t>
  </si>
  <si>
    <t>Pezzo</t>
  </si>
  <si>
    <t>Preparato per Crepes 800 gr</t>
  </si>
  <si>
    <t>FrappeShake preparato 1 Kg</t>
  </si>
  <si>
    <t>Tovaglie e Tovaglioli</t>
  </si>
  <si>
    <t>Tovagliete carta cena</t>
  </si>
  <si>
    <t>IAGRAPH</t>
  </si>
  <si>
    <t>Pezzi</t>
  </si>
  <si>
    <t>Tovaglioli neri 38x38</t>
  </si>
  <si>
    <t>Tovalgioli neri 25x25</t>
  </si>
  <si>
    <t>Cannucce Corte</t>
  </si>
  <si>
    <t>Candeline</t>
  </si>
  <si>
    <t>Cannucce Lunghe 500pz</t>
  </si>
  <si>
    <t>CANDELA FONTANA ARGENTO PZ15 PYROGIOCHI</t>
  </si>
  <si>
    <t>Rotolino Cassa</t>
  </si>
  <si>
    <t>Rorolini POS</t>
  </si>
  <si>
    <t>Pino Margherita</t>
  </si>
  <si>
    <t>TOV. 2V 16X24 PZ 150X40 NATURAL dispenser</t>
  </si>
  <si>
    <t>Piatti-Bicchieri-Posate</t>
  </si>
  <si>
    <t>PIATTI DESSERT PZ.125</t>
  </si>
  <si>
    <t>BICCHIERI CARTONCINO PE CC200 50pzX20</t>
  </si>
  <si>
    <t>FORCHETTA LEGNO SFUSA 165 pz 100</t>
  </si>
  <si>
    <t>TOVAGLIOLI 33X33 3V PZ. 30X44 ROSA/BLU CIEN</t>
  </si>
  <si>
    <t>Tovaglie tavolo compleanno</t>
  </si>
  <si>
    <t>Asciugamani intercalat (15 pezzi)</t>
  </si>
  <si>
    <t>Carta servizio</t>
  </si>
  <si>
    <t xml:space="preserve">Carta Igenica intercalata(40 pezzi) </t>
  </si>
  <si>
    <t>BOBINA WE SUPER 800 ECOLABEL PZ.2</t>
  </si>
  <si>
    <t>SALE ADDOLCITORE ACQUE IN PASTIGLIE 25 KG</t>
  </si>
  <si>
    <t>POLO</t>
  </si>
  <si>
    <t>DEODORANTE SCARPE BOWLING</t>
  </si>
  <si>
    <t>CLEAN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</si>
</sst>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3" fillId="0" borderId="0" xfId="1" applyFont="1" applyAlignment="1">
      <alignment horizontal="center" vertical="center"/>
    </xf>
    <xf numFmtId="44" fontId="0" fillId="3" borderId="0" xfId="1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38D7-0790-4469-9409-F651DC9D9719}">
  <dimension ref="B1:I187"/>
  <sheetViews>
    <sheetView tabSelected="1" workbookViewId="0">
      <pane ySplit="2" topLeftCell="A3" activePane="bottomLeft" state="frozen"/>
      <selection pane="bottomLeft" activeCell="E18" sqref="E18"/>
    </sheetView>
  </sheetViews>
  <sheetFormatPr defaultRowHeight="15" x14ac:dyDescent="0.25"/>
  <cols>
    <col min="2" max="2" width="14.85546875" customWidth="1"/>
    <col min="3" max="3" width="21" bestFit="1" customWidth="1"/>
    <col min="4" max="4" width="69.140625" bestFit="1" customWidth="1"/>
    <col min="5" max="5" width="15.140625" bestFit="1" customWidth="1"/>
    <col min="6" max="7" width="9.140625" style="1"/>
    <col min="8" max="8" width="9.42578125" style="2" bestFit="1" customWidth="1"/>
    <col min="9" max="9" width="12" style="2" bestFit="1" customWidth="1"/>
  </cols>
  <sheetData>
    <row r="1" spans="2:9" ht="15.75" x14ac:dyDescent="0.25">
      <c r="I1" s="7">
        <f>SUM(I3:I1048576)</f>
        <v>5243.6870833333369</v>
      </c>
    </row>
    <row r="2" spans="2:9" x14ac:dyDescent="0.25">
      <c r="B2" s="3" t="s">
        <v>0</v>
      </c>
      <c r="C2" s="3" t="s">
        <v>2</v>
      </c>
      <c r="D2" s="3" t="s">
        <v>9</v>
      </c>
      <c r="E2" s="3" t="s">
        <v>4</v>
      </c>
      <c r="F2" s="4" t="s">
        <v>5</v>
      </c>
      <c r="G2" s="4" t="s">
        <v>206</v>
      </c>
      <c r="H2" s="5" t="s">
        <v>6</v>
      </c>
      <c r="I2" s="5" t="s">
        <v>7</v>
      </c>
    </row>
    <row r="3" spans="2:9" x14ac:dyDescent="0.25">
      <c r="B3" t="s">
        <v>80</v>
      </c>
      <c r="C3" t="s">
        <v>81</v>
      </c>
      <c r="D3" t="s">
        <v>83</v>
      </c>
      <c r="E3" t="s">
        <v>82</v>
      </c>
      <c r="F3" s="1">
        <v>224</v>
      </c>
      <c r="G3" s="1" t="s">
        <v>208</v>
      </c>
      <c r="H3" s="2">
        <f>6.52/24</f>
        <v>0.27166666666666667</v>
      </c>
      <c r="I3" s="2">
        <f t="shared" ref="I3:I34" si="0">H3*F3</f>
        <v>60.853333333333332</v>
      </c>
    </row>
    <row r="4" spans="2:9" x14ac:dyDescent="0.25">
      <c r="B4" t="s">
        <v>80</v>
      </c>
      <c r="C4" t="s">
        <v>81</v>
      </c>
      <c r="D4" t="s">
        <v>84</v>
      </c>
      <c r="E4" t="s">
        <v>82</v>
      </c>
      <c r="F4" s="1">
        <v>97</v>
      </c>
      <c r="G4" s="1" t="s">
        <v>208</v>
      </c>
      <c r="H4" s="2">
        <f>6.52/24</f>
        <v>0.27166666666666667</v>
      </c>
      <c r="I4" s="2">
        <f t="shared" si="0"/>
        <v>26.351666666666667</v>
      </c>
    </row>
    <row r="5" spans="2:9" x14ac:dyDescent="0.25">
      <c r="B5" t="s">
        <v>80</v>
      </c>
      <c r="C5" t="s">
        <v>81</v>
      </c>
      <c r="D5" t="s">
        <v>85</v>
      </c>
      <c r="E5" t="s">
        <v>82</v>
      </c>
      <c r="F5" s="1">
        <v>68</v>
      </c>
      <c r="G5" s="1" t="s">
        <v>208</v>
      </c>
      <c r="H5" s="2">
        <f>7.46/12</f>
        <v>0.6216666666666667</v>
      </c>
      <c r="I5" s="2">
        <f t="shared" si="0"/>
        <v>42.273333333333333</v>
      </c>
    </row>
    <row r="6" spans="2:9" x14ac:dyDescent="0.25">
      <c r="B6" t="s">
        <v>80</v>
      </c>
      <c r="C6" t="s">
        <v>81</v>
      </c>
      <c r="D6" t="s">
        <v>86</v>
      </c>
      <c r="E6" t="s">
        <v>82</v>
      </c>
      <c r="F6" s="1">
        <v>39</v>
      </c>
      <c r="G6" s="1" t="s">
        <v>208</v>
      </c>
      <c r="H6" s="2">
        <f>7.61/12</f>
        <v>0.63416666666666666</v>
      </c>
      <c r="I6" s="2">
        <f t="shared" si="0"/>
        <v>24.732499999999998</v>
      </c>
    </row>
    <row r="7" spans="2:9" x14ac:dyDescent="0.25">
      <c r="B7" t="s">
        <v>80</v>
      </c>
      <c r="C7" t="s">
        <v>87</v>
      </c>
      <c r="D7" t="s">
        <v>88</v>
      </c>
      <c r="E7" t="s">
        <v>82</v>
      </c>
      <c r="F7" s="1">
        <v>77</v>
      </c>
      <c r="G7" s="1" t="s">
        <v>208</v>
      </c>
      <c r="H7" s="2">
        <f>22.28/24</f>
        <v>0.92833333333333334</v>
      </c>
      <c r="I7" s="2">
        <f t="shared" si="0"/>
        <v>71.481666666666669</v>
      </c>
    </row>
    <row r="8" spans="2:9" x14ac:dyDescent="0.25">
      <c r="B8" t="s">
        <v>80</v>
      </c>
      <c r="C8" t="s">
        <v>87</v>
      </c>
      <c r="D8" t="s">
        <v>89</v>
      </c>
      <c r="E8" t="s">
        <v>82</v>
      </c>
      <c r="F8" s="1">
        <v>17</v>
      </c>
      <c r="G8" s="1" t="s">
        <v>208</v>
      </c>
      <c r="H8" s="2">
        <f>10.18/6</f>
        <v>1.6966666666666665</v>
      </c>
      <c r="I8" s="2">
        <f t="shared" si="0"/>
        <v>28.84333333333333</v>
      </c>
    </row>
    <row r="9" spans="2:9" x14ac:dyDescent="0.25">
      <c r="B9" t="s">
        <v>80</v>
      </c>
      <c r="C9" t="s">
        <v>87</v>
      </c>
      <c r="D9" t="s">
        <v>90</v>
      </c>
      <c r="E9" t="s">
        <v>82</v>
      </c>
      <c r="F9" s="1">
        <v>47</v>
      </c>
      <c r="G9" s="1" t="s">
        <v>208</v>
      </c>
      <c r="H9" s="2">
        <f>11.13/12</f>
        <v>0.9275000000000001</v>
      </c>
      <c r="I9" s="2">
        <f t="shared" si="0"/>
        <v>43.592500000000008</v>
      </c>
    </row>
    <row r="10" spans="2:9" x14ac:dyDescent="0.25">
      <c r="B10" t="s">
        <v>80</v>
      </c>
      <c r="C10" t="s">
        <v>87</v>
      </c>
      <c r="D10" t="s">
        <v>91</v>
      </c>
      <c r="E10" t="s">
        <v>82</v>
      </c>
      <c r="F10" s="1">
        <v>30</v>
      </c>
      <c r="G10" s="1" t="s">
        <v>208</v>
      </c>
      <c r="H10" s="2">
        <f>10.74/12</f>
        <v>0.89500000000000002</v>
      </c>
      <c r="I10" s="2">
        <f t="shared" si="0"/>
        <v>26.85</v>
      </c>
    </row>
    <row r="11" spans="2:9" x14ac:dyDescent="0.25">
      <c r="B11" t="s">
        <v>80</v>
      </c>
      <c r="C11" t="s">
        <v>87</v>
      </c>
      <c r="D11" t="s">
        <v>92</v>
      </c>
      <c r="E11" t="s">
        <v>82</v>
      </c>
      <c r="F11" s="1">
        <v>64</v>
      </c>
      <c r="G11" s="1" t="s">
        <v>208</v>
      </c>
      <c r="H11" s="2">
        <f>11.34/12</f>
        <v>0.94499999999999995</v>
      </c>
      <c r="I11" s="2">
        <f t="shared" si="0"/>
        <v>60.48</v>
      </c>
    </row>
    <row r="12" spans="2:9" x14ac:dyDescent="0.25">
      <c r="B12" t="s">
        <v>80</v>
      </c>
      <c r="C12" t="s">
        <v>87</v>
      </c>
      <c r="D12" t="s">
        <v>159</v>
      </c>
      <c r="E12" t="s">
        <v>82</v>
      </c>
      <c r="F12" s="1">
        <v>50</v>
      </c>
      <c r="G12" s="1" t="s">
        <v>208</v>
      </c>
      <c r="H12" s="2">
        <v>0.8</v>
      </c>
      <c r="I12" s="2">
        <f t="shared" si="0"/>
        <v>40</v>
      </c>
    </row>
    <row r="13" spans="2:9" x14ac:dyDescent="0.25">
      <c r="B13" t="s">
        <v>80</v>
      </c>
      <c r="C13" t="s">
        <v>87</v>
      </c>
      <c r="D13" t="s">
        <v>160</v>
      </c>
      <c r="E13" t="s">
        <v>82</v>
      </c>
      <c r="F13" s="1">
        <v>40</v>
      </c>
      <c r="G13" s="1" t="s">
        <v>208</v>
      </c>
      <c r="H13" s="2">
        <v>0.8</v>
      </c>
      <c r="I13" s="2">
        <f t="shared" si="0"/>
        <v>32</v>
      </c>
    </row>
    <row r="14" spans="2:9" x14ac:dyDescent="0.25">
      <c r="B14" t="s">
        <v>80</v>
      </c>
      <c r="C14" t="s">
        <v>87</v>
      </c>
      <c r="D14" t="s">
        <v>93</v>
      </c>
      <c r="E14" t="s">
        <v>82</v>
      </c>
      <c r="F14" s="1">
        <v>62</v>
      </c>
      <c r="G14" s="1" t="s">
        <v>208</v>
      </c>
      <c r="H14" s="2">
        <f>30.04/24</f>
        <v>1.2516666666666667</v>
      </c>
      <c r="I14" s="2">
        <f t="shared" si="0"/>
        <v>77.603333333333339</v>
      </c>
    </row>
    <row r="15" spans="2:9" x14ac:dyDescent="0.25">
      <c r="B15" t="s">
        <v>80</v>
      </c>
      <c r="C15" t="s">
        <v>95</v>
      </c>
      <c r="D15" t="s">
        <v>94</v>
      </c>
      <c r="E15" t="s">
        <v>82</v>
      </c>
      <c r="F15" s="1">
        <v>28</v>
      </c>
      <c r="G15" s="1" t="s">
        <v>208</v>
      </c>
      <c r="H15" s="2">
        <f>27.84/24</f>
        <v>1.1599999999999999</v>
      </c>
      <c r="I15" s="2">
        <f t="shared" si="0"/>
        <v>32.479999999999997</v>
      </c>
    </row>
    <row r="16" spans="2:9" x14ac:dyDescent="0.25">
      <c r="B16" t="s">
        <v>80</v>
      </c>
      <c r="C16" t="s">
        <v>87</v>
      </c>
      <c r="D16" t="s">
        <v>96</v>
      </c>
      <c r="E16" t="s">
        <v>82</v>
      </c>
      <c r="F16" s="1">
        <v>20</v>
      </c>
      <c r="G16" s="1" t="s">
        <v>208</v>
      </c>
      <c r="H16" s="2">
        <v>1.61</v>
      </c>
      <c r="I16" s="2">
        <f t="shared" si="0"/>
        <v>32.200000000000003</v>
      </c>
    </row>
    <row r="17" spans="2:9" x14ac:dyDescent="0.25">
      <c r="B17" t="s">
        <v>80</v>
      </c>
      <c r="C17" t="s">
        <v>97</v>
      </c>
      <c r="D17" t="s">
        <v>98</v>
      </c>
      <c r="E17" t="s">
        <v>82</v>
      </c>
      <c r="F17" s="1">
        <v>53</v>
      </c>
      <c r="G17" s="1" t="s">
        <v>208</v>
      </c>
      <c r="H17" s="2">
        <f>4.7/10</f>
        <v>0.47000000000000003</v>
      </c>
      <c r="I17" s="2">
        <f t="shared" si="0"/>
        <v>24.91</v>
      </c>
    </row>
    <row r="18" spans="2:9" x14ac:dyDescent="0.25">
      <c r="B18" t="s">
        <v>80</v>
      </c>
      <c r="C18" t="s">
        <v>87</v>
      </c>
      <c r="D18" t="s">
        <v>99</v>
      </c>
      <c r="E18" t="s">
        <v>12</v>
      </c>
      <c r="F18" s="1">
        <v>12</v>
      </c>
      <c r="G18" s="1" t="s">
        <v>208</v>
      </c>
      <c r="H18" s="2">
        <f>5.24/4</f>
        <v>1.31</v>
      </c>
      <c r="I18" s="2">
        <f t="shared" si="0"/>
        <v>15.72</v>
      </c>
    </row>
    <row r="19" spans="2:9" x14ac:dyDescent="0.25">
      <c r="B19" t="s">
        <v>80</v>
      </c>
      <c r="C19" t="s">
        <v>87</v>
      </c>
      <c r="D19" t="s">
        <v>100</v>
      </c>
      <c r="E19" t="s">
        <v>82</v>
      </c>
      <c r="F19" s="1">
        <v>6</v>
      </c>
      <c r="G19" s="1" t="s">
        <v>208</v>
      </c>
      <c r="H19" s="2">
        <f>13.9/24</f>
        <v>0.57916666666666672</v>
      </c>
      <c r="I19" s="2">
        <f t="shared" si="0"/>
        <v>3.4750000000000005</v>
      </c>
    </row>
    <row r="20" spans="2:9" x14ac:dyDescent="0.25">
      <c r="B20" t="s">
        <v>80</v>
      </c>
      <c r="C20" t="s">
        <v>87</v>
      </c>
      <c r="D20" t="s">
        <v>156</v>
      </c>
      <c r="E20" t="s">
        <v>82</v>
      </c>
      <c r="F20" s="1">
        <v>33</v>
      </c>
      <c r="G20" s="1" t="s">
        <v>208</v>
      </c>
      <c r="H20" s="2">
        <f>14.64/24</f>
        <v>0.61</v>
      </c>
      <c r="I20" s="2">
        <f t="shared" si="0"/>
        <v>20.13</v>
      </c>
    </row>
    <row r="21" spans="2:9" x14ac:dyDescent="0.25">
      <c r="B21" t="s">
        <v>80</v>
      </c>
      <c r="C21" t="s">
        <v>87</v>
      </c>
      <c r="D21" t="s">
        <v>157</v>
      </c>
      <c r="E21" t="s">
        <v>82</v>
      </c>
      <c r="F21" s="1">
        <v>5</v>
      </c>
      <c r="G21" s="1" t="s">
        <v>208</v>
      </c>
      <c r="H21" s="2">
        <f>6.35/6</f>
        <v>1.0583333333333333</v>
      </c>
      <c r="I21" s="2">
        <f t="shared" si="0"/>
        <v>5.291666666666667</v>
      </c>
    </row>
    <row r="22" spans="2:9" x14ac:dyDescent="0.25">
      <c r="B22" t="s">
        <v>80</v>
      </c>
      <c r="C22" t="s">
        <v>101</v>
      </c>
      <c r="D22" t="s">
        <v>102</v>
      </c>
      <c r="E22" t="s">
        <v>12</v>
      </c>
      <c r="F22" s="1">
        <v>1</v>
      </c>
      <c r="G22" s="1" t="s">
        <v>208</v>
      </c>
      <c r="H22" s="2">
        <v>1.79</v>
      </c>
      <c r="I22" s="2">
        <f t="shared" si="0"/>
        <v>1.79</v>
      </c>
    </row>
    <row r="23" spans="2:9" x14ac:dyDescent="0.25">
      <c r="B23" t="s">
        <v>80</v>
      </c>
      <c r="C23" t="s">
        <v>101</v>
      </c>
      <c r="D23" t="s">
        <v>103</v>
      </c>
      <c r="E23" t="s">
        <v>12</v>
      </c>
      <c r="F23" s="1">
        <v>2</v>
      </c>
      <c r="G23" s="1" t="s">
        <v>208</v>
      </c>
      <c r="H23" s="2">
        <v>1.18</v>
      </c>
      <c r="I23" s="2">
        <f t="shared" si="0"/>
        <v>2.36</v>
      </c>
    </row>
    <row r="24" spans="2:9" x14ac:dyDescent="0.25">
      <c r="B24" t="s">
        <v>80</v>
      </c>
      <c r="C24" t="s">
        <v>101</v>
      </c>
      <c r="D24" t="s">
        <v>104</v>
      </c>
      <c r="E24" t="s">
        <v>12</v>
      </c>
      <c r="F24" s="1">
        <v>1</v>
      </c>
      <c r="G24" s="1" t="s">
        <v>208</v>
      </c>
      <c r="H24" s="2">
        <v>2.39</v>
      </c>
      <c r="I24" s="2">
        <f t="shared" si="0"/>
        <v>2.39</v>
      </c>
    </row>
    <row r="25" spans="2:9" x14ac:dyDescent="0.25">
      <c r="B25" t="s">
        <v>80</v>
      </c>
      <c r="C25" t="s">
        <v>105</v>
      </c>
      <c r="D25" t="s">
        <v>106</v>
      </c>
      <c r="E25" t="s">
        <v>12</v>
      </c>
      <c r="F25" s="1">
        <v>0.7</v>
      </c>
      <c r="G25" s="1" t="s">
        <v>208</v>
      </c>
      <c r="H25" s="8"/>
      <c r="I25" s="2">
        <f t="shared" si="0"/>
        <v>0</v>
      </c>
    </row>
    <row r="26" spans="2:9" x14ac:dyDescent="0.25">
      <c r="B26" t="s">
        <v>80</v>
      </c>
      <c r="C26" t="s">
        <v>105</v>
      </c>
      <c r="D26" t="s">
        <v>107</v>
      </c>
      <c r="E26" t="s">
        <v>12</v>
      </c>
      <c r="F26" s="1">
        <v>0.2</v>
      </c>
      <c r="G26" s="1" t="s">
        <v>208</v>
      </c>
      <c r="H26" s="2">
        <v>6.49</v>
      </c>
      <c r="I26" s="2">
        <f t="shared" si="0"/>
        <v>1.298</v>
      </c>
    </row>
    <row r="27" spans="2:9" x14ac:dyDescent="0.25">
      <c r="B27" t="s">
        <v>80</v>
      </c>
      <c r="C27" t="s">
        <v>105</v>
      </c>
      <c r="D27" t="s">
        <v>108</v>
      </c>
      <c r="E27" t="s">
        <v>12</v>
      </c>
      <c r="F27" s="1">
        <v>0.3</v>
      </c>
      <c r="G27" s="1" t="s">
        <v>208</v>
      </c>
      <c r="H27" s="2">
        <v>6.49</v>
      </c>
      <c r="I27" s="2">
        <f t="shared" si="0"/>
        <v>1.9470000000000001</v>
      </c>
    </row>
    <row r="28" spans="2:9" x14ac:dyDescent="0.25">
      <c r="B28" t="s">
        <v>80</v>
      </c>
      <c r="C28" t="s">
        <v>105</v>
      </c>
      <c r="D28" t="s">
        <v>109</v>
      </c>
      <c r="E28" t="s">
        <v>12</v>
      </c>
      <c r="F28" s="1">
        <v>1</v>
      </c>
      <c r="G28" s="1" t="s">
        <v>208</v>
      </c>
      <c r="H28" s="2">
        <v>6.17</v>
      </c>
      <c r="I28" s="2">
        <f t="shared" si="0"/>
        <v>6.17</v>
      </c>
    </row>
    <row r="29" spans="2:9" x14ac:dyDescent="0.25">
      <c r="B29" t="s">
        <v>80</v>
      </c>
      <c r="C29" t="s">
        <v>105</v>
      </c>
      <c r="D29" t="s">
        <v>110</v>
      </c>
      <c r="E29" t="s">
        <v>12</v>
      </c>
      <c r="F29" s="1">
        <v>1</v>
      </c>
      <c r="G29" s="1" t="s">
        <v>208</v>
      </c>
      <c r="H29" s="2">
        <v>6.49</v>
      </c>
      <c r="I29" s="2">
        <f t="shared" si="0"/>
        <v>6.49</v>
      </c>
    </row>
    <row r="30" spans="2:9" x14ac:dyDescent="0.25">
      <c r="B30" t="s">
        <v>80</v>
      </c>
      <c r="C30" t="s">
        <v>105</v>
      </c>
      <c r="D30" t="s">
        <v>111</v>
      </c>
      <c r="E30" t="s">
        <v>12</v>
      </c>
      <c r="F30" s="1">
        <v>1.8</v>
      </c>
      <c r="G30" s="1" t="s">
        <v>208</v>
      </c>
      <c r="H30" s="2">
        <v>5.09</v>
      </c>
      <c r="I30" s="2">
        <f t="shared" si="0"/>
        <v>9.1620000000000008</v>
      </c>
    </row>
    <row r="31" spans="2:9" x14ac:dyDescent="0.25">
      <c r="B31" t="s">
        <v>80</v>
      </c>
      <c r="C31" t="s">
        <v>81</v>
      </c>
      <c r="D31" t="s">
        <v>158</v>
      </c>
      <c r="E31" t="s">
        <v>12</v>
      </c>
      <c r="F31" s="1">
        <v>7</v>
      </c>
      <c r="G31" s="1" t="s">
        <v>208</v>
      </c>
      <c r="H31" s="2">
        <v>2.99</v>
      </c>
      <c r="I31" s="2">
        <f t="shared" si="0"/>
        <v>20.93</v>
      </c>
    </row>
    <row r="32" spans="2:9" x14ac:dyDescent="0.25">
      <c r="B32" t="s">
        <v>80</v>
      </c>
      <c r="C32" t="s">
        <v>112</v>
      </c>
      <c r="D32" t="s">
        <v>113</v>
      </c>
      <c r="E32" t="s">
        <v>12</v>
      </c>
      <c r="F32" s="1">
        <v>4</v>
      </c>
      <c r="G32" s="1" t="s">
        <v>208</v>
      </c>
      <c r="H32" s="2">
        <f>7.69/10</f>
        <v>0.76900000000000002</v>
      </c>
      <c r="I32" s="2">
        <f t="shared" si="0"/>
        <v>3.0760000000000001</v>
      </c>
    </row>
    <row r="33" spans="2:9" x14ac:dyDescent="0.25">
      <c r="B33" t="s">
        <v>80</v>
      </c>
      <c r="C33" t="s">
        <v>87</v>
      </c>
      <c r="D33" t="s">
        <v>114</v>
      </c>
      <c r="E33" t="s">
        <v>82</v>
      </c>
      <c r="F33" s="1">
        <v>27</v>
      </c>
      <c r="G33" s="1" t="s">
        <v>208</v>
      </c>
      <c r="H33" s="2">
        <f>11.13/12</f>
        <v>0.9275000000000001</v>
      </c>
      <c r="I33" s="2">
        <f t="shared" si="0"/>
        <v>25.042500000000004</v>
      </c>
    </row>
    <row r="34" spans="2:9" x14ac:dyDescent="0.25">
      <c r="B34" t="s">
        <v>80</v>
      </c>
      <c r="C34" t="s">
        <v>115</v>
      </c>
      <c r="D34" t="s">
        <v>116</v>
      </c>
      <c r="E34" t="s">
        <v>12</v>
      </c>
      <c r="F34" s="1">
        <v>0.4</v>
      </c>
      <c r="G34" s="1" t="s">
        <v>208</v>
      </c>
      <c r="H34" s="8"/>
      <c r="I34" s="2">
        <f t="shared" si="0"/>
        <v>0</v>
      </c>
    </row>
    <row r="35" spans="2:9" x14ac:dyDescent="0.25">
      <c r="B35" t="s">
        <v>80</v>
      </c>
      <c r="C35" t="s">
        <v>115</v>
      </c>
      <c r="D35" t="s">
        <v>117</v>
      </c>
      <c r="E35" t="s">
        <v>82</v>
      </c>
      <c r="F35" s="1">
        <v>1</v>
      </c>
      <c r="G35" s="1" t="s">
        <v>208</v>
      </c>
      <c r="H35" s="2">
        <v>16.53</v>
      </c>
      <c r="I35" s="2">
        <f t="shared" ref="I35:I66" si="1">H35*F35</f>
        <v>16.53</v>
      </c>
    </row>
    <row r="36" spans="2:9" x14ac:dyDescent="0.25">
      <c r="B36" t="s">
        <v>80</v>
      </c>
      <c r="C36" t="s">
        <v>115</v>
      </c>
      <c r="D36" t="s">
        <v>118</v>
      </c>
      <c r="E36" t="s">
        <v>12</v>
      </c>
      <c r="F36" s="1">
        <v>0.9</v>
      </c>
      <c r="G36" s="1" t="s">
        <v>208</v>
      </c>
      <c r="H36" s="2">
        <v>15.35</v>
      </c>
      <c r="I36" s="2">
        <f t="shared" si="1"/>
        <v>13.815</v>
      </c>
    </row>
    <row r="37" spans="2:9" x14ac:dyDescent="0.25">
      <c r="B37" t="s">
        <v>80</v>
      </c>
      <c r="C37" t="s">
        <v>115</v>
      </c>
      <c r="D37" t="s">
        <v>119</v>
      </c>
      <c r="E37" t="s">
        <v>82</v>
      </c>
      <c r="F37" s="1">
        <v>1.3</v>
      </c>
      <c r="G37" s="1" t="s">
        <v>208</v>
      </c>
      <c r="H37" s="2">
        <v>7.95</v>
      </c>
      <c r="I37" s="2">
        <f t="shared" si="1"/>
        <v>10.335000000000001</v>
      </c>
    </row>
    <row r="38" spans="2:9" x14ac:dyDescent="0.25">
      <c r="B38" t="s">
        <v>80</v>
      </c>
      <c r="C38" t="s">
        <v>115</v>
      </c>
      <c r="D38" t="s">
        <v>120</v>
      </c>
      <c r="E38" t="s">
        <v>82</v>
      </c>
      <c r="F38" s="1">
        <v>0.7</v>
      </c>
      <c r="G38" s="1" t="s">
        <v>208</v>
      </c>
      <c r="H38" s="2">
        <v>16.489999999999998</v>
      </c>
      <c r="I38" s="2">
        <f t="shared" si="1"/>
        <v>11.542999999999997</v>
      </c>
    </row>
    <row r="39" spans="2:9" x14ac:dyDescent="0.25">
      <c r="B39" t="s">
        <v>80</v>
      </c>
      <c r="C39" t="s">
        <v>115</v>
      </c>
      <c r="D39" t="s">
        <v>121</v>
      </c>
      <c r="E39" t="s">
        <v>82</v>
      </c>
      <c r="F39" s="1">
        <v>3.4</v>
      </c>
      <c r="G39" s="1" t="s">
        <v>208</v>
      </c>
      <c r="H39" s="2">
        <v>21.22</v>
      </c>
      <c r="I39" s="2">
        <f t="shared" si="1"/>
        <v>72.147999999999996</v>
      </c>
    </row>
    <row r="40" spans="2:9" x14ac:dyDescent="0.25">
      <c r="B40" t="s">
        <v>80</v>
      </c>
      <c r="C40" t="s">
        <v>115</v>
      </c>
      <c r="D40" t="s">
        <v>122</v>
      </c>
      <c r="E40" t="s">
        <v>82</v>
      </c>
      <c r="F40" s="1">
        <v>1</v>
      </c>
      <c r="G40" s="1" t="s">
        <v>208</v>
      </c>
      <c r="H40" s="2">
        <v>16</v>
      </c>
      <c r="I40" s="2">
        <f t="shared" si="1"/>
        <v>16</v>
      </c>
    </row>
    <row r="41" spans="2:9" x14ac:dyDescent="0.25">
      <c r="B41" t="s">
        <v>80</v>
      </c>
      <c r="C41" t="s">
        <v>115</v>
      </c>
      <c r="D41" t="s">
        <v>123</v>
      </c>
      <c r="E41" t="s">
        <v>12</v>
      </c>
      <c r="F41" s="1">
        <v>1</v>
      </c>
      <c r="G41" s="1" t="s">
        <v>208</v>
      </c>
      <c r="H41" s="2">
        <v>19.04</v>
      </c>
      <c r="I41" s="2">
        <f t="shared" si="1"/>
        <v>19.04</v>
      </c>
    </row>
    <row r="42" spans="2:9" x14ac:dyDescent="0.25">
      <c r="B42" t="s">
        <v>80</v>
      </c>
      <c r="C42" t="s">
        <v>115</v>
      </c>
      <c r="D42" t="s">
        <v>154</v>
      </c>
      <c r="E42" t="s">
        <v>82</v>
      </c>
      <c r="F42" s="1">
        <v>0.5</v>
      </c>
      <c r="G42" s="1" t="s">
        <v>208</v>
      </c>
      <c r="H42" s="2">
        <v>24.7</v>
      </c>
      <c r="I42" s="2">
        <f t="shared" si="1"/>
        <v>12.35</v>
      </c>
    </row>
    <row r="43" spans="2:9" x14ac:dyDescent="0.25">
      <c r="B43" t="s">
        <v>80</v>
      </c>
      <c r="C43" t="s">
        <v>115</v>
      </c>
      <c r="D43" t="s">
        <v>124</v>
      </c>
      <c r="E43" t="s">
        <v>82</v>
      </c>
      <c r="F43" s="1">
        <v>0.4</v>
      </c>
      <c r="G43" s="1" t="s">
        <v>208</v>
      </c>
      <c r="H43" s="2">
        <v>22.9</v>
      </c>
      <c r="I43" s="2">
        <f t="shared" si="1"/>
        <v>9.16</v>
      </c>
    </row>
    <row r="44" spans="2:9" x14ac:dyDescent="0.25">
      <c r="B44" t="s">
        <v>80</v>
      </c>
      <c r="C44" t="s">
        <v>115</v>
      </c>
      <c r="D44" t="s">
        <v>125</v>
      </c>
      <c r="F44" s="1">
        <v>0.7</v>
      </c>
      <c r="G44" s="1" t="s">
        <v>208</v>
      </c>
      <c r="H44" s="8"/>
      <c r="I44" s="2">
        <f t="shared" si="1"/>
        <v>0</v>
      </c>
    </row>
    <row r="45" spans="2:9" x14ac:dyDescent="0.25">
      <c r="B45" t="s">
        <v>80</v>
      </c>
      <c r="C45" t="s">
        <v>115</v>
      </c>
      <c r="D45" t="s">
        <v>126</v>
      </c>
      <c r="E45" t="s">
        <v>12</v>
      </c>
      <c r="F45" s="1">
        <v>0.3</v>
      </c>
      <c r="G45" s="1" t="s">
        <v>208</v>
      </c>
      <c r="H45" s="2">
        <v>13.59</v>
      </c>
      <c r="I45" s="2">
        <f t="shared" si="1"/>
        <v>4.077</v>
      </c>
    </row>
    <row r="46" spans="2:9" x14ac:dyDescent="0.25">
      <c r="B46" t="s">
        <v>80</v>
      </c>
      <c r="C46" t="s">
        <v>115</v>
      </c>
      <c r="D46" t="s">
        <v>127</v>
      </c>
      <c r="E46" t="s">
        <v>12</v>
      </c>
      <c r="F46" s="1">
        <v>0.5</v>
      </c>
      <c r="G46" s="1" t="s">
        <v>208</v>
      </c>
      <c r="H46" s="2">
        <v>11.49</v>
      </c>
      <c r="I46" s="2">
        <f t="shared" si="1"/>
        <v>5.7450000000000001</v>
      </c>
    </row>
    <row r="47" spans="2:9" x14ac:dyDescent="0.25">
      <c r="B47" t="s">
        <v>80</v>
      </c>
      <c r="C47" t="s">
        <v>115</v>
      </c>
      <c r="D47" t="s">
        <v>155</v>
      </c>
      <c r="E47" t="s">
        <v>12</v>
      </c>
      <c r="F47" s="1">
        <v>0.8</v>
      </c>
      <c r="G47" s="1" t="s">
        <v>208</v>
      </c>
      <c r="H47" s="2">
        <v>21.49</v>
      </c>
      <c r="I47" s="2">
        <f t="shared" si="1"/>
        <v>17.192</v>
      </c>
    </row>
    <row r="48" spans="2:9" x14ac:dyDescent="0.25">
      <c r="B48" t="s">
        <v>80</v>
      </c>
      <c r="C48" t="s">
        <v>115</v>
      </c>
      <c r="D48" t="s">
        <v>128</v>
      </c>
      <c r="E48" t="s">
        <v>82</v>
      </c>
      <c r="F48" s="1">
        <v>2.4</v>
      </c>
      <c r="G48" s="1" t="s">
        <v>208</v>
      </c>
      <c r="H48" s="2">
        <v>14.4</v>
      </c>
      <c r="I48" s="2">
        <f t="shared" si="1"/>
        <v>34.56</v>
      </c>
    </row>
    <row r="49" spans="2:9" x14ac:dyDescent="0.25">
      <c r="B49" t="s">
        <v>80</v>
      </c>
      <c r="C49" t="s">
        <v>115</v>
      </c>
      <c r="D49" t="s">
        <v>129</v>
      </c>
      <c r="E49" t="s">
        <v>82</v>
      </c>
      <c r="F49" s="1">
        <v>0.9</v>
      </c>
      <c r="G49" s="1" t="s">
        <v>208</v>
      </c>
      <c r="H49" s="2">
        <v>25.9</v>
      </c>
      <c r="I49" s="2">
        <f t="shared" si="1"/>
        <v>23.31</v>
      </c>
    </row>
    <row r="50" spans="2:9" x14ac:dyDescent="0.25">
      <c r="B50" t="s">
        <v>80</v>
      </c>
      <c r="C50" t="s">
        <v>115</v>
      </c>
      <c r="D50" t="s">
        <v>130</v>
      </c>
      <c r="E50" t="s">
        <v>82</v>
      </c>
      <c r="F50" s="1">
        <v>0.6</v>
      </c>
      <c r="G50" s="1" t="s">
        <v>208</v>
      </c>
      <c r="H50" s="2">
        <v>18.899999999999999</v>
      </c>
      <c r="I50" s="2">
        <f t="shared" si="1"/>
        <v>11.339999999999998</v>
      </c>
    </row>
    <row r="51" spans="2:9" x14ac:dyDescent="0.25">
      <c r="B51" t="s">
        <v>80</v>
      </c>
      <c r="C51" t="s">
        <v>115</v>
      </c>
      <c r="D51" t="s">
        <v>131</v>
      </c>
      <c r="E51" t="s">
        <v>82</v>
      </c>
      <c r="F51" s="1">
        <v>0.2</v>
      </c>
      <c r="G51" s="1" t="s">
        <v>208</v>
      </c>
      <c r="H51" s="2">
        <v>30</v>
      </c>
      <c r="I51" s="2">
        <f t="shared" si="1"/>
        <v>6</v>
      </c>
    </row>
    <row r="52" spans="2:9" x14ac:dyDescent="0.25">
      <c r="B52" t="s">
        <v>80</v>
      </c>
      <c r="C52" t="s">
        <v>115</v>
      </c>
      <c r="D52" t="s">
        <v>132</v>
      </c>
      <c r="F52" s="1">
        <v>1</v>
      </c>
      <c r="G52" s="1" t="s">
        <v>208</v>
      </c>
      <c r="H52" s="8"/>
      <c r="I52" s="2">
        <f t="shared" si="1"/>
        <v>0</v>
      </c>
    </row>
    <row r="53" spans="2:9" x14ac:dyDescent="0.25">
      <c r="B53" t="s">
        <v>80</v>
      </c>
      <c r="C53" t="s">
        <v>115</v>
      </c>
      <c r="D53" t="s">
        <v>133</v>
      </c>
      <c r="E53" t="s">
        <v>82</v>
      </c>
      <c r="F53" s="1">
        <v>0.3</v>
      </c>
      <c r="G53" s="1" t="s">
        <v>208</v>
      </c>
      <c r="H53" s="2">
        <v>23.84</v>
      </c>
      <c r="I53" s="2">
        <f t="shared" si="1"/>
        <v>7.1520000000000001</v>
      </c>
    </row>
    <row r="54" spans="2:9" x14ac:dyDescent="0.25">
      <c r="B54" t="s">
        <v>80</v>
      </c>
      <c r="C54" t="s">
        <v>115</v>
      </c>
      <c r="D54" t="s">
        <v>134</v>
      </c>
      <c r="E54" t="s">
        <v>12</v>
      </c>
      <c r="F54" s="1">
        <v>0.4</v>
      </c>
      <c r="G54" s="1" t="s">
        <v>208</v>
      </c>
      <c r="H54" s="2">
        <v>21.9</v>
      </c>
      <c r="I54" s="2">
        <f t="shared" si="1"/>
        <v>8.76</v>
      </c>
    </row>
    <row r="55" spans="2:9" x14ac:dyDescent="0.25">
      <c r="B55" t="s">
        <v>80</v>
      </c>
      <c r="C55" t="s">
        <v>115</v>
      </c>
      <c r="D55" t="s">
        <v>161</v>
      </c>
      <c r="E55" t="s">
        <v>82</v>
      </c>
      <c r="F55" s="1">
        <v>0.6</v>
      </c>
      <c r="G55" s="1" t="s">
        <v>208</v>
      </c>
      <c r="H55" s="2">
        <v>30.82</v>
      </c>
      <c r="I55" s="2">
        <f t="shared" si="1"/>
        <v>18.492000000000001</v>
      </c>
    </row>
    <row r="56" spans="2:9" x14ac:dyDescent="0.25">
      <c r="B56" t="s">
        <v>80</v>
      </c>
      <c r="C56" t="s">
        <v>115</v>
      </c>
      <c r="D56" t="s">
        <v>135</v>
      </c>
      <c r="E56" t="s">
        <v>82</v>
      </c>
      <c r="F56" s="1">
        <v>0.2</v>
      </c>
      <c r="G56" s="1" t="s">
        <v>208</v>
      </c>
      <c r="H56" s="2">
        <v>29.14</v>
      </c>
      <c r="I56" s="2">
        <f t="shared" si="1"/>
        <v>5.8280000000000003</v>
      </c>
    </row>
    <row r="57" spans="2:9" x14ac:dyDescent="0.25">
      <c r="B57" t="s">
        <v>80</v>
      </c>
      <c r="C57" t="s">
        <v>115</v>
      </c>
      <c r="D57" t="s">
        <v>136</v>
      </c>
      <c r="E57" t="s">
        <v>82</v>
      </c>
      <c r="F57" s="1">
        <v>0.1</v>
      </c>
      <c r="G57" s="1" t="s">
        <v>208</v>
      </c>
      <c r="H57" s="2">
        <v>29.32</v>
      </c>
      <c r="I57" s="2">
        <f t="shared" si="1"/>
        <v>2.9320000000000004</v>
      </c>
    </row>
    <row r="58" spans="2:9" x14ac:dyDescent="0.25">
      <c r="B58" t="s">
        <v>80</v>
      </c>
      <c r="C58" t="s">
        <v>115</v>
      </c>
      <c r="D58" t="s">
        <v>137</v>
      </c>
      <c r="F58" s="1">
        <v>0.1</v>
      </c>
      <c r="G58" s="1" t="s">
        <v>208</v>
      </c>
      <c r="H58" s="8"/>
      <c r="I58" s="2">
        <f t="shared" si="1"/>
        <v>0</v>
      </c>
    </row>
    <row r="59" spans="2:9" x14ac:dyDescent="0.25">
      <c r="B59" t="s">
        <v>80</v>
      </c>
      <c r="C59" t="s">
        <v>115</v>
      </c>
      <c r="D59" t="s">
        <v>138</v>
      </c>
      <c r="E59" t="s">
        <v>162</v>
      </c>
      <c r="F59" s="1">
        <v>0.9</v>
      </c>
      <c r="G59" s="1" t="s">
        <v>208</v>
      </c>
      <c r="H59" s="2">
        <v>12.7</v>
      </c>
      <c r="I59" s="2">
        <f t="shared" si="1"/>
        <v>11.43</v>
      </c>
    </row>
    <row r="60" spans="2:9" x14ac:dyDescent="0.25">
      <c r="B60" t="s">
        <v>80</v>
      </c>
      <c r="C60" t="s">
        <v>115</v>
      </c>
      <c r="D60" t="s">
        <v>139</v>
      </c>
      <c r="E60" t="s">
        <v>82</v>
      </c>
      <c r="F60" s="1">
        <v>18.5</v>
      </c>
      <c r="G60" s="1" t="s">
        <v>208</v>
      </c>
      <c r="H60" s="2">
        <v>11.99</v>
      </c>
      <c r="I60" s="2">
        <f t="shared" si="1"/>
        <v>221.815</v>
      </c>
    </row>
    <row r="61" spans="2:9" x14ac:dyDescent="0.25">
      <c r="B61" t="s">
        <v>80</v>
      </c>
      <c r="C61" t="s">
        <v>115</v>
      </c>
      <c r="D61" t="s">
        <v>140</v>
      </c>
      <c r="E61" t="s">
        <v>82</v>
      </c>
      <c r="F61" s="1">
        <v>1</v>
      </c>
      <c r="G61" s="1" t="s">
        <v>208</v>
      </c>
      <c r="H61" s="2">
        <v>9.48</v>
      </c>
      <c r="I61" s="2">
        <f t="shared" si="1"/>
        <v>9.48</v>
      </c>
    </row>
    <row r="62" spans="2:9" x14ac:dyDescent="0.25">
      <c r="B62" t="s">
        <v>80</v>
      </c>
      <c r="C62" t="s">
        <v>115</v>
      </c>
      <c r="D62" t="s">
        <v>141</v>
      </c>
      <c r="E62" t="s">
        <v>82</v>
      </c>
      <c r="F62" s="1">
        <v>3</v>
      </c>
      <c r="G62" s="1" t="s">
        <v>208</v>
      </c>
      <c r="H62" s="2">
        <v>17.68</v>
      </c>
      <c r="I62" s="2">
        <f t="shared" si="1"/>
        <v>53.04</v>
      </c>
    </row>
    <row r="63" spans="2:9" x14ac:dyDescent="0.25">
      <c r="B63" t="s">
        <v>80</v>
      </c>
      <c r="C63" t="s">
        <v>115</v>
      </c>
      <c r="D63" t="s">
        <v>142</v>
      </c>
      <c r="E63" t="s">
        <v>82</v>
      </c>
      <c r="F63" s="1">
        <v>8</v>
      </c>
      <c r="G63" s="1" t="s">
        <v>208</v>
      </c>
      <c r="H63" s="2">
        <v>11.28</v>
      </c>
      <c r="I63" s="2">
        <f t="shared" si="1"/>
        <v>90.24</v>
      </c>
    </row>
    <row r="64" spans="2:9" x14ac:dyDescent="0.25">
      <c r="B64" t="s">
        <v>80</v>
      </c>
      <c r="C64" t="s">
        <v>115</v>
      </c>
      <c r="D64" t="s">
        <v>143</v>
      </c>
      <c r="E64" t="s">
        <v>82</v>
      </c>
      <c r="F64" s="1">
        <v>0.6</v>
      </c>
      <c r="G64" s="1" t="s">
        <v>208</v>
      </c>
      <c r="H64" s="2">
        <v>16.399999999999999</v>
      </c>
      <c r="I64" s="2">
        <f t="shared" si="1"/>
        <v>9.8399999999999981</v>
      </c>
    </row>
    <row r="65" spans="2:9" x14ac:dyDescent="0.25">
      <c r="B65" t="s">
        <v>80</v>
      </c>
      <c r="C65" t="s">
        <v>115</v>
      </c>
      <c r="D65" t="s">
        <v>144</v>
      </c>
      <c r="F65" s="1">
        <v>1</v>
      </c>
      <c r="G65" s="1" t="s">
        <v>208</v>
      </c>
      <c r="H65" s="8"/>
      <c r="I65" s="2">
        <f t="shared" si="1"/>
        <v>0</v>
      </c>
    </row>
    <row r="66" spans="2:9" x14ac:dyDescent="0.25">
      <c r="B66" t="s">
        <v>80</v>
      </c>
      <c r="C66" t="s">
        <v>115</v>
      </c>
      <c r="D66" t="s">
        <v>145</v>
      </c>
      <c r="F66" s="1">
        <v>0.9</v>
      </c>
      <c r="G66" s="1" t="s">
        <v>208</v>
      </c>
      <c r="H66" s="8"/>
      <c r="I66" s="2">
        <f t="shared" si="1"/>
        <v>0</v>
      </c>
    </row>
    <row r="67" spans="2:9" x14ac:dyDescent="0.25">
      <c r="B67" t="s">
        <v>80</v>
      </c>
      <c r="C67" t="s">
        <v>115</v>
      </c>
      <c r="D67" t="s">
        <v>146</v>
      </c>
      <c r="E67" t="s">
        <v>82</v>
      </c>
      <c r="F67" s="1">
        <v>0.3</v>
      </c>
      <c r="G67" s="1" t="s">
        <v>208</v>
      </c>
      <c r="H67" s="2">
        <v>17.190000000000001</v>
      </c>
      <c r="I67" s="2">
        <f t="shared" ref="I67:I98" si="2">H67*F67</f>
        <v>5.157</v>
      </c>
    </row>
    <row r="68" spans="2:9" x14ac:dyDescent="0.25">
      <c r="B68" t="s">
        <v>80</v>
      </c>
      <c r="C68" t="s">
        <v>115</v>
      </c>
      <c r="D68" t="s">
        <v>147</v>
      </c>
      <c r="E68" t="s">
        <v>162</v>
      </c>
      <c r="F68" s="1">
        <v>0.1</v>
      </c>
      <c r="G68" s="1" t="s">
        <v>208</v>
      </c>
      <c r="H68" s="2">
        <v>12.6</v>
      </c>
      <c r="I68" s="2">
        <f t="shared" si="2"/>
        <v>1.26</v>
      </c>
    </row>
    <row r="69" spans="2:9" x14ac:dyDescent="0.25">
      <c r="B69" t="s">
        <v>80</v>
      </c>
      <c r="C69" t="s">
        <v>115</v>
      </c>
      <c r="D69" t="s">
        <v>148</v>
      </c>
      <c r="E69" t="s">
        <v>162</v>
      </c>
      <c r="F69" s="1">
        <v>0.9</v>
      </c>
      <c r="G69" s="1" t="s">
        <v>208</v>
      </c>
      <c r="H69" s="2">
        <v>13.6</v>
      </c>
      <c r="I69" s="2">
        <f t="shared" si="2"/>
        <v>12.24</v>
      </c>
    </row>
    <row r="70" spans="2:9" x14ac:dyDescent="0.25">
      <c r="B70" t="s">
        <v>80</v>
      </c>
      <c r="C70" t="s">
        <v>115</v>
      </c>
      <c r="D70" t="s">
        <v>149</v>
      </c>
      <c r="F70" s="1">
        <v>0.7</v>
      </c>
      <c r="G70" s="1" t="s">
        <v>208</v>
      </c>
      <c r="H70" s="8"/>
      <c r="I70" s="2">
        <f t="shared" si="2"/>
        <v>0</v>
      </c>
    </row>
    <row r="71" spans="2:9" x14ac:dyDescent="0.25">
      <c r="B71" t="s">
        <v>80</v>
      </c>
      <c r="C71" t="s">
        <v>115</v>
      </c>
      <c r="D71" t="s">
        <v>164</v>
      </c>
      <c r="E71" t="s">
        <v>82</v>
      </c>
      <c r="F71" s="1">
        <v>0.7</v>
      </c>
      <c r="G71" s="1" t="s">
        <v>208</v>
      </c>
      <c r="H71" s="2">
        <v>23.24</v>
      </c>
      <c r="I71" s="2">
        <f t="shared" si="2"/>
        <v>16.267999999999997</v>
      </c>
    </row>
    <row r="72" spans="2:9" x14ac:dyDescent="0.25">
      <c r="B72" t="s">
        <v>80</v>
      </c>
      <c r="C72" t="s">
        <v>115</v>
      </c>
      <c r="D72" t="s">
        <v>150</v>
      </c>
      <c r="E72" t="s">
        <v>82</v>
      </c>
      <c r="F72" s="1">
        <v>1</v>
      </c>
      <c r="G72" s="1" t="s">
        <v>208</v>
      </c>
      <c r="H72" s="2">
        <v>19.05</v>
      </c>
      <c r="I72" s="2">
        <f t="shared" si="2"/>
        <v>19.05</v>
      </c>
    </row>
    <row r="73" spans="2:9" x14ac:dyDescent="0.25">
      <c r="B73" t="s">
        <v>80</v>
      </c>
      <c r="C73" t="s">
        <v>115</v>
      </c>
      <c r="D73" t="s">
        <v>151</v>
      </c>
      <c r="E73" t="s">
        <v>82</v>
      </c>
      <c r="F73" s="1">
        <v>0.6</v>
      </c>
      <c r="G73" s="1" t="s">
        <v>208</v>
      </c>
      <c r="H73" s="2">
        <v>10.02</v>
      </c>
      <c r="I73" s="2">
        <f t="shared" si="2"/>
        <v>6.0119999999999996</v>
      </c>
    </row>
    <row r="74" spans="2:9" x14ac:dyDescent="0.25">
      <c r="B74" t="s">
        <v>80</v>
      </c>
      <c r="C74" t="s">
        <v>115</v>
      </c>
      <c r="D74" t="s">
        <v>152</v>
      </c>
      <c r="E74" t="s">
        <v>82</v>
      </c>
      <c r="F74" s="1">
        <v>0.2</v>
      </c>
      <c r="G74" s="1" t="s">
        <v>208</v>
      </c>
      <c r="H74" s="2">
        <v>19.95</v>
      </c>
      <c r="I74" s="2">
        <f t="shared" si="2"/>
        <v>3.99</v>
      </c>
    </row>
    <row r="75" spans="2:9" x14ac:dyDescent="0.25">
      <c r="B75" t="s">
        <v>80</v>
      </c>
      <c r="C75" t="s">
        <v>115</v>
      </c>
      <c r="D75" t="s">
        <v>153</v>
      </c>
      <c r="E75" t="s">
        <v>82</v>
      </c>
      <c r="F75" s="1">
        <v>0.4</v>
      </c>
      <c r="G75" s="1" t="s">
        <v>208</v>
      </c>
      <c r="H75" s="2">
        <v>9.48</v>
      </c>
      <c r="I75" s="2">
        <f t="shared" si="2"/>
        <v>3.7920000000000003</v>
      </c>
    </row>
    <row r="76" spans="2:9" x14ac:dyDescent="0.25">
      <c r="B76" t="s">
        <v>80</v>
      </c>
      <c r="C76" t="s">
        <v>115</v>
      </c>
      <c r="D76" t="s">
        <v>163</v>
      </c>
      <c r="E76" t="s">
        <v>12</v>
      </c>
      <c r="F76" s="1">
        <v>1</v>
      </c>
      <c r="G76" s="1" t="s">
        <v>208</v>
      </c>
      <c r="H76" s="2">
        <v>17.78</v>
      </c>
      <c r="I76" s="2">
        <f t="shared" si="2"/>
        <v>17.78</v>
      </c>
    </row>
    <row r="77" spans="2:9" x14ac:dyDescent="0.25">
      <c r="B77" t="s">
        <v>80</v>
      </c>
      <c r="C77" t="s">
        <v>165</v>
      </c>
      <c r="D77" t="s">
        <v>166</v>
      </c>
      <c r="E77" t="s">
        <v>82</v>
      </c>
      <c r="F77" s="1">
        <v>0.8</v>
      </c>
      <c r="G77" s="1" t="s">
        <v>208</v>
      </c>
      <c r="H77" s="2">
        <v>103</v>
      </c>
      <c r="I77" s="2">
        <f t="shared" si="2"/>
        <v>82.4</v>
      </c>
    </row>
    <row r="78" spans="2:9" x14ac:dyDescent="0.25">
      <c r="B78" t="s">
        <v>80</v>
      </c>
      <c r="C78" t="s">
        <v>165</v>
      </c>
      <c r="D78" t="s">
        <v>167</v>
      </c>
      <c r="E78" t="s">
        <v>162</v>
      </c>
      <c r="F78" s="1">
        <v>0.1</v>
      </c>
      <c r="G78" s="1" t="s">
        <v>208</v>
      </c>
      <c r="H78" s="2">
        <v>109.26</v>
      </c>
      <c r="I78" s="2">
        <f t="shared" si="2"/>
        <v>10.926000000000002</v>
      </c>
    </row>
    <row r="79" spans="2:9" x14ac:dyDescent="0.25">
      <c r="B79" t="s">
        <v>80</v>
      </c>
      <c r="C79" t="s">
        <v>165</v>
      </c>
      <c r="D79" t="s">
        <v>168</v>
      </c>
      <c r="E79" t="s">
        <v>162</v>
      </c>
      <c r="F79" s="1">
        <v>0.2</v>
      </c>
      <c r="G79" s="1" t="s">
        <v>208</v>
      </c>
      <c r="H79" s="2">
        <v>97.43</v>
      </c>
      <c r="I79" s="2">
        <f t="shared" si="2"/>
        <v>19.486000000000004</v>
      </c>
    </row>
    <row r="80" spans="2:9" x14ac:dyDescent="0.25">
      <c r="B80" t="s">
        <v>80</v>
      </c>
      <c r="C80" t="s">
        <v>169</v>
      </c>
      <c r="D80" t="s">
        <v>170</v>
      </c>
      <c r="E80" t="s">
        <v>82</v>
      </c>
      <c r="F80" s="1">
        <v>41</v>
      </c>
      <c r="G80" s="1" t="s">
        <v>208</v>
      </c>
      <c r="H80" s="2">
        <f>24.68/24</f>
        <v>1.0283333333333333</v>
      </c>
      <c r="I80" s="2">
        <f t="shared" si="2"/>
        <v>42.161666666666669</v>
      </c>
    </row>
    <row r="81" spans="2:9" x14ac:dyDescent="0.25">
      <c r="B81" t="s">
        <v>80</v>
      </c>
      <c r="C81" t="s">
        <v>169</v>
      </c>
      <c r="D81" t="s">
        <v>171</v>
      </c>
      <c r="E81" t="s">
        <v>82</v>
      </c>
      <c r="F81" s="1">
        <v>53</v>
      </c>
      <c r="G81" s="1" t="s">
        <v>208</v>
      </c>
      <c r="H81" s="2">
        <f>20.88/24</f>
        <v>0.87</v>
      </c>
      <c r="I81" s="2">
        <f t="shared" si="2"/>
        <v>46.11</v>
      </c>
    </row>
    <row r="82" spans="2:9" x14ac:dyDescent="0.25">
      <c r="B82" t="s">
        <v>80</v>
      </c>
      <c r="C82" t="s">
        <v>169</v>
      </c>
      <c r="D82" t="s">
        <v>172</v>
      </c>
      <c r="E82" t="s">
        <v>162</v>
      </c>
      <c r="F82" s="1">
        <v>7</v>
      </c>
      <c r="G82" s="1" t="s">
        <v>208</v>
      </c>
      <c r="H82" s="2">
        <f>30.54/24</f>
        <v>1.2725</v>
      </c>
      <c r="I82" s="2">
        <f t="shared" si="2"/>
        <v>8.9074999999999989</v>
      </c>
    </row>
    <row r="83" spans="2:9" x14ac:dyDescent="0.25">
      <c r="B83" t="s">
        <v>80</v>
      </c>
      <c r="C83" t="s">
        <v>169</v>
      </c>
      <c r="D83" t="s">
        <v>173</v>
      </c>
      <c r="E83" t="s">
        <v>162</v>
      </c>
      <c r="F83" s="1">
        <v>12</v>
      </c>
      <c r="G83" s="1" t="s">
        <v>208</v>
      </c>
      <c r="H83" s="2">
        <f>18.2/24</f>
        <v>0.7583333333333333</v>
      </c>
      <c r="I83" s="2">
        <f t="shared" si="2"/>
        <v>9.1</v>
      </c>
    </row>
    <row r="84" spans="2:9" x14ac:dyDescent="0.25">
      <c r="B84" t="s">
        <v>80</v>
      </c>
      <c r="C84" t="s">
        <v>169</v>
      </c>
      <c r="D84" t="s">
        <v>174</v>
      </c>
      <c r="E84" t="s">
        <v>162</v>
      </c>
      <c r="F84" s="1">
        <v>18</v>
      </c>
      <c r="G84" s="1" t="s">
        <v>208</v>
      </c>
      <c r="H84" s="2">
        <f>39.94/20</f>
        <v>1.9969999999999999</v>
      </c>
      <c r="I84" s="2">
        <f t="shared" si="2"/>
        <v>35.945999999999998</v>
      </c>
    </row>
    <row r="85" spans="2:9" x14ac:dyDescent="0.25">
      <c r="B85" t="s">
        <v>80</v>
      </c>
      <c r="C85" t="s">
        <v>169</v>
      </c>
      <c r="D85" t="s">
        <v>175</v>
      </c>
      <c r="E85" t="s">
        <v>82</v>
      </c>
      <c r="F85" s="1">
        <v>5</v>
      </c>
      <c r="G85" s="1" t="s">
        <v>208</v>
      </c>
      <c r="H85" s="2">
        <f>45.12/24</f>
        <v>1.88</v>
      </c>
      <c r="I85" s="2">
        <f t="shared" si="2"/>
        <v>9.3999999999999986</v>
      </c>
    </row>
    <row r="86" spans="2:9" x14ac:dyDescent="0.25">
      <c r="B86" t="s">
        <v>80</v>
      </c>
      <c r="C86" t="s">
        <v>169</v>
      </c>
      <c r="D86" t="s">
        <v>176</v>
      </c>
      <c r="E86" t="s">
        <v>162</v>
      </c>
      <c r="F86" s="1">
        <v>36</v>
      </c>
      <c r="G86" s="1" t="s">
        <v>208</v>
      </c>
      <c r="H86" s="2">
        <f>27.52/24</f>
        <v>1.1466666666666667</v>
      </c>
      <c r="I86" s="2">
        <f t="shared" si="2"/>
        <v>41.28</v>
      </c>
    </row>
    <row r="87" spans="2:9" x14ac:dyDescent="0.25">
      <c r="B87" t="s">
        <v>80</v>
      </c>
      <c r="C87" t="s">
        <v>169</v>
      </c>
      <c r="D87" t="s">
        <v>177</v>
      </c>
      <c r="E87" t="s">
        <v>82</v>
      </c>
      <c r="F87" s="1">
        <v>46</v>
      </c>
      <c r="G87" s="1" t="s">
        <v>208</v>
      </c>
      <c r="H87" s="2">
        <f>29.66/24</f>
        <v>1.2358333333333333</v>
      </c>
      <c r="I87" s="2">
        <f t="shared" si="2"/>
        <v>56.848333333333336</v>
      </c>
    </row>
    <row r="88" spans="2:9" x14ac:dyDescent="0.25">
      <c r="B88" t="s">
        <v>80</v>
      </c>
      <c r="C88" t="s">
        <v>169</v>
      </c>
      <c r="D88" t="s">
        <v>178</v>
      </c>
      <c r="E88" t="s">
        <v>82</v>
      </c>
      <c r="F88" s="1">
        <v>58</v>
      </c>
      <c r="G88" s="1" t="s">
        <v>208</v>
      </c>
      <c r="H88" s="2">
        <f>31.01/24</f>
        <v>1.2920833333333335</v>
      </c>
      <c r="I88" s="2">
        <f t="shared" si="2"/>
        <v>74.940833333333345</v>
      </c>
    </row>
    <row r="89" spans="2:9" x14ac:dyDescent="0.25">
      <c r="B89" t="s">
        <v>80</v>
      </c>
      <c r="C89" t="s">
        <v>179</v>
      </c>
      <c r="D89" t="s">
        <v>182</v>
      </c>
      <c r="E89" t="s">
        <v>180</v>
      </c>
      <c r="F89" s="1">
        <v>6</v>
      </c>
      <c r="G89" s="1" t="s">
        <v>208</v>
      </c>
      <c r="H89" s="2">
        <v>3.5</v>
      </c>
      <c r="I89" s="2">
        <f t="shared" si="2"/>
        <v>21</v>
      </c>
    </row>
    <row r="90" spans="2:9" x14ac:dyDescent="0.25">
      <c r="B90" t="s">
        <v>80</v>
      </c>
      <c r="C90" t="s">
        <v>179</v>
      </c>
      <c r="D90" t="s">
        <v>181</v>
      </c>
      <c r="E90" t="s">
        <v>180</v>
      </c>
      <c r="F90" s="1">
        <v>15</v>
      </c>
      <c r="G90" s="1" t="s">
        <v>208</v>
      </c>
      <c r="H90" s="2">
        <v>5.95</v>
      </c>
      <c r="I90" s="2">
        <f t="shared" si="2"/>
        <v>89.25</v>
      </c>
    </row>
    <row r="91" spans="2:9" x14ac:dyDescent="0.25">
      <c r="B91" t="s">
        <v>80</v>
      </c>
      <c r="C91" t="s">
        <v>179</v>
      </c>
      <c r="D91" t="s">
        <v>183</v>
      </c>
      <c r="E91" t="s">
        <v>180</v>
      </c>
      <c r="F91" s="1">
        <v>14</v>
      </c>
      <c r="G91" s="1" t="s">
        <v>208</v>
      </c>
      <c r="H91" s="2">
        <v>5.87</v>
      </c>
      <c r="I91" s="2">
        <f t="shared" si="2"/>
        <v>82.18</v>
      </c>
    </row>
    <row r="92" spans="2:9" x14ac:dyDescent="0.25">
      <c r="B92" t="s">
        <v>80</v>
      </c>
      <c r="C92" t="s">
        <v>179</v>
      </c>
      <c r="D92" t="s">
        <v>184</v>
      </c>
      <c r="E92" t="s">
        <v>180</v>
      </c>
      <c r="F92" s="1">
        <v>13</v>
      </c>
      <c r="G92" s="1" t="s">
        <v>208</v>
      </c>
      <c r="H92" s="2">
        <v>6.2</v>
      </c>
      <c r="I92" s="2">
        <f t="shared" si="2"/>
        <v>80.600000000000009</v>
      </c>
    </row>
    <row r="93" spans="2:9" x14ac:dyDescent="0.25">
      <c r="B93" t="s">
        <v>80</v>
      </c>
      <c r="C93" t="s">
        <v>179</v>
      </c>
      <c r="D93" t="s">
        <v>185</v>
      </c>
      <c r="E93" t="s">
        <v>162</v>
      </c>
      <c r="F93" s="1">
        <v>4</v>
      </c>
      <c r="G93" s="1" t="s">
        <v>208</v>
      </c>
      <c r="H93" s="2">
        <f>44.44/6</f>
        <v>7.4066666666666663</v>
      </c>
      <c r="I93" s="2">
        <f t="shared" si="2"/>
        <v>29.626666666666665</v>
      </c>
    </row>
    <row r="94" spans="2:9" x14ac:dyDescent="0.25">
      <c r="B94" t="s">
        <v>80</v>
      </c>
      <c r="C94" t="s">
        <v>179</v>
      </c>
      <c r="D94" t="s">
        <v>186</v>
      </c>
      <c r="E94" t="s">
        <v>82</v>
      </c>
      <c r="F94" s="1">
        <v>11</v>
      </c>
      <c r="G94" s="1" t="s">
        <v>208</v>
      </c>
      <c r="H94" s="2">
        <f>34.16/6</f>
        <v>5.6933333333333325</v>
      </c>
      <c r="I94" s="2">
        <f t="shared" si="2"/>
        <v>62.626666666666658</v>
      </c>
    </row>
    <row r="95" spans="2:9" x14ac:dyDescent="0.25">
      <c r="B95" t="s">
        <v>80</v>
      </c>
      <c r="C95" t="s">
        <v>179</v>
      </c>
      <c r="D95" t="s">
        <v>187</v>
      </c>
      <c r="E95" t="s">
        <v>82</v>
      </c>
      <c r="F95" s="1">
        <v>3</v>
      </c>
      <c r="G95" s="1" t="s">
        <v>208</v>
      </c>
      <c r="H95" s="2">
        <f>36.39/6</f>
        <v>6.0650000000000004</v>
      </c>
      <c r="I95" s="2">
        <f t="shared" si="2"/>
        <v>18.195</v>
      </c>
    </row>
    <row r="96" spans="2:9" x14ac:dyDescent="0.25">
      <c r="B96" t="s">
        <v>80</v>
      </c>
      <c r="C96" t="s">
        <v>179</v>
      </c>
      <c r="D96" t="s">
        <v>188</v>
      </c>
      <c r="E96" t="s">
        <v>82</v>
      </c>
      <c r="F96" s="1">
        <v>5</v>
      </c>
      <c r="G96" s="1" t="s">
        <v>208</v>
      </c>
      <c r="H96" s="2">
        <f>25.37/6</f>
        <v>4.2283333333333335</v>
      </c>
      <c r="I96" s="2">
        <f t="shared" si="2"/>
        <v>21.141666666666666</v>
      </c>
    </row>
    <row r="97" spans="2:9" x14ac:dyDescent="0.25">
      <c r="B97" t="s">
        <v>80</v>
      </c>
      <c r="C97" t="s">
        <v>179</v>
      </c>
      <c r="D97" t="s">
        <v>189</v>
      </c>
      <c r="E97" t="s">
        <v>82</v>
      </c>
      <c r="F97" s="1">
        <v>7</v>
      </c>
      <c r="G97" s="1" t="s">
        <v>208</v>
      </c>
      <c r="H97" s="2">
        <f>32/6</f>
        <v>5.333333333333333</v>
      </c>
      <c r="I97" s="2">
        <f t="shared" si="2"/>
        <v>37.333333333333329</v>
      </c>
    </row>
    <row r="98" spans="2:9" x14ac:dyDescent="0.25">
      <c r="B98" t="s">
        <v>80</v>
      </c>
      <c r="C98" t="s">
        <v>190</v>
      </c>
      <c r="D98" t="s">
        <v>191</v>
      </c>
      <c r="E98" t="s">
        <v>180</v>
      </c>
      <c r="F98" s="1">
        <f>170+3900</f>
        <v>4070</v>
      </c>
      <c r="G98" s="1" t="s">
        <v>208</v>
      </c>
      <c r="H98" s="2">
        <f>14/50</f>
        <v>0.28000000000000003</v>
      </c>
      <c r="I98" s="2">
        <f t="shared" si="2"/>
        <v>1139.6000000000001</v>
      </c>
    </row>
    <row r="99" spans="2:9" x14ac:dyDescent="0.25">
      <c r="B99" t="s">
        <v>80</v>
      </c>
      <c r="C99" t="s">
        <v>190</v>
      </c>
      <c r="D99" t="s">
        <v>192</v>
      </c>
      <c r="E99" t="s">
        <v>180</v>
      </c>
      <c r="F99" s="1">
        <v>590</v>
      </c>
      <c r="G99" s="1" t="s">
        <v>208</v>
      </c>
      <c r="H99" s="2">
        <f>14/50</f>
        <v>0.28000000000000003</v>
      </c>
      <c r="I99" s="2">
        <f t="shared" ref="I99:I130" si="3">H99*F99</f>
        <v>165.20000000000002</v>
      </c>
    </row>
    <row r="100" spans="2:9" x14ac:dyDescent="0.25">
      <c r="B100" t="s">
        <v>80</v>
      </c>
      <c r="C100" t="s">
        <v>190</v>
      </c>
      <c r="D100" t="s">
        <v>193</v>
      </c>
      <c r="E100" t="s">
        <v>12</v>
      </c>
      <c r="F100" s="1">
        <v>1.5</v>
      </c>
      <c r="G100" s="1" t="s">
        <v>208</v>
      </c>
      <c r="H100" s="2">
        <v>2.79</v>
      </c>
      <c r="I100" s="2">
        <f t="shared" si="3"/>
        <v>4.1850000000000005</v>
      </c>
    </row>
    <row r="101" spans="2:9" x14ac:dyDescent="0.25">
      <c r="B101" t="s">
        <v>80</v>
      </c>
      <c r="C101" t="s">
        <v>190</v>
      </c>
      <c r="D101" t="s">
        <v>194</v>
      </c>
      <c r="E101" t="s">
        <v>12</v>
      </c>
      <c r="F101" s="1">
        <v>0.3</v>
      </c>
      <c r="H101" s="2">
        <v>1.72</v>
      </c>
      <c r="I101" s="2">
        <f t="shared" si="3"/>
        <v>0.51600000000000001</v>
      </c>
    </row>
    <row r="102" spans="2:9" x14ac:dyDescent="0.25">
      <c r="B102" t="s">
        <v>80</v>
      </c>
      <c r="C102" t="s">
        <v>190</v>
      </c>
      <c r="D102" t="s">
        <v>195</v>
      </c>
      <c r="E102" t="s">
        <v>12</v>
      </c>
      <c r="F102" s="1">
        <v>0.8</v>
      </c>
      <c r="G102" s="1" t="s">
        <v>208</v>
      </c>
      <c r="H102" s="2">
        <v>6.75</v>
      </c>
      <c r="I102" s="2">
        <f t="shared" si="3"/>
        <v>5.4</v>
      </c>
    </row>
    <row r="103" spans="2:9" x14ac:dyDescent="0.25">
      <c r="B103" t="s">
        <v>80</v>
      </c>
      <c r="C103" t="s">
        <v>190</v>
      </c>
      <c r="D103" t="s">
        <v>213</v>
      </c>
      <c r="E103" t="s">
        <v>180</v>
      </c>
      <c r="F103" s="1">
        <v>1</v>
      </c>
      <c r="G103" s="1" t="s">
        <v>208</v>
      </c>
      <c r="H103" s="2">
        <v>19.8</v>
      </c>
      <c r="I103" s="2">
        <f t="shared" si="3"/>
        <v>19.8</v>
      </c>
    </row>
    <row r="104" spans="2:9" x14ac:dyDescent="0.25">
      <c r="B104" t="s">
        <v>80</v>
      </c>
      <c r="C104" t="s">
        <v>190</v>
      </c>
      <c r="D104" t="s">
        <v>196</v>
      </c>
      <c r="E104" t="s">
        <v>180</v>
      </c>
      <c r="F104" s="1">
        <v>53</v>
      </c>
      <c r="G104" s="1" t="s">
        <v>212</v>
      </c>
      <c r="H104" s="2">
        <v>0.69</v>
      </c>
      <c r="I104" s="2">
        <f t="shared" si="3"/>
        <v>36.57</v>
      </c>
    </row>
    <row r="105" spans="2:9" x14ac:dyDescent="0.25">
      <c r="B105" t="s">
        <v>80</v>
      </c>
      <c r="C105" t="s">
        <v>190</v>
      </c>
      <c r="D105" t="s">
        <v>197</v>
      </c>
      <c r="E105" t="s">
        <v>180</v>
      </c>
      <c r="F105" s="1">
        <v>85</v>
      </c>
      <c r="G105" s="1" t="s">
        <v>212</v>
      </c>
      <c r="H105" s="2">
        <v>0.6</v>
      </c>
      <c r="I105" s="2">
        <f t="shared" si="3"/>
        <v>51</v>
      </c>
    </row>
    <row r="106" spans="2:9" x14ac:dyDescent="0.25">
      <c r="B106" t="s">
        <v>80</v>
      </c>
      <c r="C106" t="s">
        <v>190</v>
      </c>
      <c r="D106" t="s">
        <v>198</v>
      </c>
      <c r="E106" t="s">
        <v>205</v>
      </c>
      <c r="F106" s="1">
        <v>2</v>
      </c>
      <c r="G106" s="1" t="s">
        <v>207</v>
      </c>
      <c r="H106" s="8"/>
      <c r="I106" s="2">
        <f t="shared" si="3"/>
        <v>0</v>
      </c>
    </row>
    <row r="107" spans="2:9" x14ac:dyDescent="0.25">
      <c r="B107" t="s">
        <v>80</v>
      </c>
      <c r="C107" t="s">
        <v>190</v>
      </c>
      <c r="D107" t="s">
        <v>199</v>
      </c>
      <c r="E107" t="s">
        <v>205</v>
      </c>
      <c r="F107" s="1">
        <v>4</v>
      </c>
      <c r="G107" s="1" t="s">
        <v>207</v>
      </c>
      <c r="H107" s="2">
        <v>5</v>
      </c>
      <c r="I107" s="2">
        <f t="shared" si="3"/>
        <v>20</v>
      </c>
    </row>
    <row r="108" spans="2:9" x14ac:dyDescent="0.25">
      <c r="B108" t="s">
        <v>80</v>
      </c>
      <c r="C108" t="s">
        <v>190</v>
      </c>
      <c r="D108" t="s">
        <v>200</v>
      </c>
      <c r="E108" t="s">
        <v>180</v>
      </c>
      <c r="F108" s="1">
        <v>3</v>
      </c>
      <c r="G108" s="1" t="s">
        <v>208</v>
      </c>
      <c r="H108" s="2">
        <v>2.2000000000000002</v>
      </c>
      <c r="I108" s="2">
        <f t="shared" si="3"/>
        <v>6.6000000000000005</v>
      </c>
    </row>
    <row r="109" spans="2:9" x14ac:dyDescent="0.25">
      <c r="B109" t="s">
        <v>80</v>
      </c>
      <c r="C109" t="s">
        <v>190</v>
      </c>
      <c r="D109" t="s">
        <v>201</v>
      </c>
      <c r="E109" t="s">
        <v>180</v>
      </c>
      <c r="F109" s="1">
        <v>9</v>
      </c>
      <c r="G109" s="1" t="s">
        <v>208</v>
      </c>
      <c r="H109" s="2">
        <v>4.2</v>
      </c>
      <c r="I109" s="2">
        <f t="shared" si="3"/>
        <v>37.800000000000004</v>
      </c>
    </row>
    <row r="110" spans="2:9" x14ac:dyDescent="0.25">
      <c r="B110" t="s">
        <v>80</v>
      </c>
      <c r="C110" t="s">
        <v>190</v>
      </c>
      <c r="D110" t="s">
        <v>202</v>
      </c>
      <c r="E110" t="s">
        <v>12</v>
      </c>
      <c r="F110" s="9">
        <v>1</v>
      </c>
      <c r="G110" s="1" t="s">
        <v>208</v>
      </c>
      <c r="H110" s="2">
        <v>30</v>
      </c>
      <c r="I110" s="2">
        <f t="shared" si="3"/>
        <v>30</v>
      </c>
    </row>
    <row r="111" spans="2:9" x14ac:dyDescent="0.25">
      <c r="B111" t="s">
        <v>80</v>
      </c>
      <c r="C111" t="s">
        <v>190</v>
      </c>
      <c r="D111" t="s">
        <v>203</v>
      </c>
      <c r="E111" t="s">
        <v>12</v>
      </c>
      <c r="F111" s="1">
        <v>1</v>
      </c>
      <c r="G111" s="1" t="s">
        <v>208</v>
      </c>
      <c r="H111" s="2">
        <v>30</v>
      </c>
      <c r="I111" s="2">
        <f t="shared" si="3"/>
        <v>30</v>
      </c>
    </row>
    <row r="112" spans="2:9" x14ac:dyDescent="0.25">
      <c r="B112" t="s">
        <v>80</v>
      </c>
      <c r="C112" t="s">
        <v>190</v>
      </c>
      <c r="D112" t="s">
        <v>204</v>
      </c>
      <c r="E112" t="s">
        <v>12</v>
      </c>
      <c r="F112" s="1">
        <v>0.7</v>
      </c>
      <c r="G112" s="1" t="s">
        <v>208</v>
      </c>
      <c r="H112" s="2">
        <v>22.59</v>
      </c>
      <c r="I112" s="2">
        <f t="shared" si="3"/>
        <v>15.812999999999999</v>
      </c>
    </row>
    <row r="113" spans="2:9" x14ac:dyDescent="0.25">
      <c r="B113" t="s">
        <v>80</v>
      </c>
      <c r="C113" t="s">
        <v>190</v>
      </c>
      <c r="D113" t="s">
        <v>214</v>
      </c>
      <c r="E113" t="s">
        <v>180</v>
      </c>
      <c r="F113" s="1">
        <v>1</v>
      </c>
      <c r="G113" s="1" t="s">
        <v>208</v>
      </c>
      <c r="H113" s="2">
        <v>30</v>
      </c>
      <c r="I113" s="2">
        <f t="shared" si="3"/>
        <v>30</v>
      </c>
    </row>
    <row r="114" spans="2:9" x14ac:dyDescent="0.25">
      <c r="B114" t="s">
        <v>64</v>
      </c>
      <c r="C114" t="s">
        <v>65</v>
      </c>
      <c r="D114" t="s">
        <v>66</v>
      </c>
      <c r="E114" t="s">
        <v>12</v>
      </c>
      <c r="F114" s="1">
        <v>1</v>
      </c>
      <c r="G114" s="1" t="s">
        <v>208</v>
      </c>
      <c r="H114" s="2">
        <v>4.74</v>
      </c>
      <c r="I114" s="2">
        <f t="shared" si="3"/>
        <v>4.74</v>
      </c>
    </row>
    <row r="115" spans="2:9" x14ac:dyDescent="0.25">
      <c r="B115" t="s">
        <v>64</v>
      </c>
      <c r="C115" t="s">
        <v>67</v>
      </c>
      <c r="D115" t="s">
        <v>69</v>
      </c>
      <c r="E115" t="s">
        <v>70</v>
      </c>
      <c r="F115" s="1">
        <v>11</v>
      </c>
      <c r="G115" s="1" t="s">
        <v>208</v>
      </c>
      <c r="H115" s="2">
        <v>4.01</v>
      </c>
      <c r="I115" s="2">
        <f t="shared" si="3"/>
        <v>44.11</v>
      </c>
    </row>
    <row r="116" spans="2:9" x14ac:dyDescent="0.25">
      <c r="B116" t="s">
        <v>64</v>
      </c>
      <c r="C116" t="s">
        <v>67</v>
      </c>
      <c r="D116" t="s">
        <v>71</v>
      </c>
      <c r="E116" t="s">
        <v>70</v>
      </c>
      <c r="F116" s="1">
        <v>11</v>
      </c>
      <c r="G116" s="1" t="s">
        <v>208</v>
      </c>
      <c r="H116" s="2">
        <v>5.91</v>
      </c>
      <c r="I116" s="2">
        <f t="shared" si="3"/>
        <v>65.010000000000005</v>
      </c>
    </row>
    <row r="117" spans="2:9" x14ac:dyDescent="0.25">
      <c r="B117" t="s">
        <v>64</v>
      </c>
      <c r="C117" t="s">
        <v>67</v>
      </c>
      <c r="D117" t="s">
        <v>72</v>
      </c>
      <c r="E117" t="s">
        <v>70</v>
      </c>
      <c r="F117" s="1">
        <v>1</v>
      </c>
      <c r="G117" s="1" t="s">
        <v>208</v>
      </c>
      <c r="H117" s="2">
        <f>82.6/20</f>
        <v>4.13</v>
      </c>
      <c r="I117" s="2">
        <f t="shared" si="3"/>
        <v>4.13</v>
      </c>
    </row>
    <row r="118" spans="2:9" x14ac:dyDescent="0.25">
      <c r="B118" t="s">
        <v>64</v>
      </c>
      <c r="C118" t="s">
        <v>74</v>
      </c>
      <c r="D118" t="s">
        <v>73</v>
      </c>
      <c r="E118" t="s">
        <v>19</v>
      </c>
      <c r="F118" s="1">
        <v>12</v>
      </c>
      <c r="G118" s="1" t="s">
        <v>212</v>
      </c>
      <c r="H118" s="2">
        <v>1.56</v>
      </c>
      <c r="I118" s="2">
        <f t="shared" si="3"/>
        <v>18.72</v>
      </c>
    </row>
    <row r="119" spans="2:9" x14ac:dyDescent="0.25">
      <c r="B119" t="s">
        <v>64</v>
      </c>
      <c r="C119" t="s">
        <v>74</v>
      </c>
      <c r="D119" t="s">
        <v>75</v>
      </c>
      <c r="E119" t="s">
        <v>19</v>
      </c>
      <c r="F119" s="1">
        <v>0.5</v>
      </c>
      <c r="G119" s="1" t="s">
        <v>212</v>
      </c>
      <c r="H119" s="2">
        <v>9.74</v>
      </c>
      <c r="I119" s="2">
        <f t="shared" si="3"/>
        <v>4.87</v>
      </c>
    </row>
    <row r="120" spans="2:9" x14ac:dyDescent="0.25">
      <c r="B120" t="s">
        <v>64</v>
      </c>
      <c r="C120" t="s">
        <v>74</v>
      </c>
      <c r="D120" t="s">
        <v>76</v>
      </c>
      <c r="E120" t="s">
        <v>19</v>
      </c>
      <c r="F120" s="1">
        <v>0.5</v>
      </c>
      <c r="G120" s="1" t="s">
        <v>212</v>
      </c>
      <c r="H120" s="2">
        <v>9.7200000000000006</v>
      </c>
      <c r="I120" s="2">
        <f t="shared" si="3"/>
        <v>4.8600000000000003</v>
      </c>
    </row>
    <row r="121" spans="2:9" x14ac:dyDescent="0.25">
      <c r="B121" t="s">
        <v>64</v>
      </c>
      <c r="C121" t="s">
        <v>74</v>
      </c>
      <c r="D121" t="s">
        <v>77</v>
      </c>
      <c r="E121" t="s">
        <v>19</v>
      </c>
      <c r="F121" s="1">
        <v>0.5</v>
      </c>
      <c r="G121" s="1" t="s">
        <v>212</v>
      </c>
      <c r="H121" s="2">
        <v>5.16</v>
      </c>
      <c r="I121" s="2">
        <f t="shared" si="3"/>
        <v>2.58</v>
      </c>
    </row>
    <row r="122" spans="2:9" x14ac:dyDescent="0.25">
      <c r="B122" t="s">
        <v>64</v>
      </c>
      <c r="C122" t="s">
        <v>74</v>
      </c>
      <c r="D122" t="s">
        <v>78</v>
      </c>
      <c r="E122" t="s">
        <v>79</v>
      </c>
      <c r="F122" s="1">
        <v>5</v>
      </c>
      <c r="G122" s="1" t="s">
        <v>212</v>
      </c>
      <c r="H122" s="2">
        <v>9.5</v>
      </c>
      <c r="I122" s="2">
        <f t="shared" si="3"/>
        <v>47.5</v>
      </c>
    </row>
    <row r="123" spans="2:9" x14ac:dyDescent="0.25">
      <c r="B123" t="s">
        <v>64</v>
      </c>
      <c r="C123" t="s">
        <v>215</v>
      </c>
      <c r="D123" t="s">
        <v>216</v>
      </c>
      <c r="E123" t="s">
        <v>217</v>
      </c>
      <c r="F123" s="1">
        <v>300</v>
      </c>
      <c r="G123" s="1" t="s">
        <v>208</v>
      </c>
      <c r="H123" s="2">
        <f>110/1000</f>
        <v>0.11</v>
      </c>
      <c r="I123" s="2">
        <f t="shared" si="3"/>
        <v>33</v>
      </c>
    </row>
    <row r="124" spans="2:9" x14ac:dyDescent="0.25">
      <c r="B124" t="s">
        <v>64</v>
      </c>
      <c r="C124" t="s">
        <v>215</v>
      </c>
      <c r="D124" t="s">
        <v>219</v>
      </c>
      <c r="E124" t="s">
        <v>12</v>
      </c>
      <c r="F124" s="1">
        <v>13</v>
      </c>
      <c r="G124" s="1" t="s">
        <v>218</v>
      </c>
      <c r="H124" s="2">
        <v>2.19</v>
      </c>
      <c r="I124" s="2">
        <f t="shared" si="3"/>
        <v>28.47</v>
      </c>
    </row>
    <row r="125" spans="2:9" x14ac:dyDescent="0.25">
      <c r="B125" t="s">
        <v>64</v>
      </c>
      <c r="C125" t="s">
        <v>215</v>
      </c>
      <c r="D125" t="s">
        <v>220</v>
      </c>
      <c r="E125" t="s">
        <v>12</v>
      </c>
      <c r="F125" s="1">
        <v>3</v>
      </c>
      <c r="G125" s="1" t="s">
        <v>218</v>
      </c>
      <c r="H125" s="2">
        <v>2.56</v>
      </c>
      <c r="I125" s="2">
        <f t="shared" si="3"/>
        <v>7.68</v>
      </c>
    </row>
    <row r="126" spans="2:9" x14ac:dyDescent="0.25">
      <c r="B126" t="s">
        <v>64</v>
      </c>
      <c r="C126" t="s">
        <v>65</v>
      </c>
      <c r="D126" t="s">
        <v>223</v>
      </c>
      <c r="E126" t="s">
        <v>12</v>
      </c>
      <c r="F126" s="1">
        <v>2</v>
      </c>
      <c r="G126" s="1" t="s">
        <v>218</v>
      </c>
      <c r="H126" s="2">
        <v>8.82</v>
      </c>
      <c r="I126" s="2">
        <f t="shared" si="3"/>
        <v>17.64</v>
      </c>
    </row>
    <row r="127" spans="2:9" x14ac:dyDescent="0.25">
      <c r="B127" t="s">
        <v>64</v>
      </c>
      <c r="C127" t="s">
        <v>65</v>
      </c>
      <c r="D127" t="s">
        <v>221</v>
      </c>
      <c r="E127" t="s">
        <v>12</v>
      </c>
      <c r="F127" s="1">
        <v>1</v>
      </c>
      <c r="G127" s="1" t="s">
        <v>218</v>
      </c>
      <c r="H127" s="2">
        <v>2.59</v>
      </c>
      <c r="I127" s="2">
        <f t="shared" si="3"/>
        <v>2.59</v>
      </c>
    </row>
    <row r="128" spans="2:9" x14ac:dyDescent="0.25">
      <c r="B128" t="s">
        <v>64</v>
      </c>
      <c r="C128" t="s">
        <v>65</v>
      </c>
      <c r="D128" t="s">
        <v>222</v>
      </c>
      <c r="E128" t="s">
        <v>12</v>
      </c>
      <c r="F128" s="1">
        <v>13</v>
      </c>
      <c r="G128" s="1" t="s">
        <v>208</v>
      </c>
      <c r="H128" s="2">
        <v>1.1000000000000001</v>
      </c>
      <c r="I128" s="2">
        <f t="shared" si="3"/>
        <v>14.3</v>
      </c>
    </row>
    <row r="129" spans="2:9" x14ac:dyDescent="0.25">
      <c r="B129" t="s">
        <v>64</v>
      </c>
      <c r="C129" t="s">
        <v>65</v>
      </c>
      <c r="D129" t="s">
        <v>224</v>
      </c>
      <c r="E129" t="s">
        <v>12</v>
      </c>
      <c r="F129" s="1">
        <v>9</v>
      </c>
      <c r="G129" s="1" t="s">
        <v>218</v>
      </c>
      <c r="H129" s="2">
        <f>10.85/15</f>
        <v>0.72333333333333327</v>
      </c>
      <c r="I129" s="2">
        <f t="shared" si="3"/>
        <v>6.51</v>
      </c>
    </row>
    <row r="130" spans="2:9" x14ac:dyDescent="0.25">
      <c r="B130" t="s">
        <v>64</v>
      </c>
      <c r="C130" t="s">
        <v>65</v>
      </c>
      <c r="D130" t="s">
        <v>225</v>
      </c>
      <c r="E130" t="s">
        <v>227</v>
      </c>
      <c r="F130" s="1">
        <v>38</v>
      </c>
      <c r="G130" s="1" t="s">
        <v>218</v>
      </c>
      <c r="H130" s="2">
        <f>53.35/50</f>
        <v>1.0669999999999999</v>
      </c>
      <c r="I130" s="2">
        <f t="shared" si="3"/>
        <v>40.545999999999999</v>
      </c>
    </row>
    <row r="131" spans="2:9" x14ac:dyDescent="0.25">
      <c r="B131" t="s">
        <v>64</v>
      </c>
      <c r="C131" t="s">
        <v>65</v>
      </c>
      <c r="D131" t="s">
        <v>226</v>
      </c>
      <c r="E131" t="s">
        <v>227</v>
      </c>
      <c r="F131" s="1">
        <v>113</v>
      </c>
      <c r="G131" s="1" t="s">
        <v>218</v>
      </c>
      <c r="H131" s="2">
        <f>13.58/50</f>
        <v>0.27160000000000001</v>
      </c>
      <c r="I131" s="2">
        <f t="shared" ref="I131:I162" si="4">H131*F131</f>
        <v>30.690799999999999</v>
      </c>
    </row>
    <row r="132" spans="2:9" x14ac:dyDescent="0.25">
      <c r="B132" t="s">
        <v>64</v>
      </c>
      <c r="C132" t="s">
        <v>215</v>
      </c>
      <c r="D132" t="s">
        <v>228</v>
      </c>
      <c r="E132" t="s">
        <v>70</v>
      </c>
      <c r="F132" s="1">
        <v>15</v>
      </c>
      <c r="G132" s="1" t="s">
        <v>218</v>
      </c>
      <c r="H132" s="2">
        <f>46.3/40</f>
        <v>1.1575</v>
      </c>
      <c r="I132" s="2">
        <f t="shared" si="4"/>
        <v>17.362500000000001</v>
      </c>
    </row>
    <row r="133" spans="2:9" x14ac:dyDescent="0.25">
      <c r="B133" t="s">
        <v>64</v>
      </c>
      <c r="C133" t="s">
        <v>229</v>
      </c>
      <c r="D133" t="s">
        <v>230</v>
      </c>
      <c r="E133" t="s">
        <v>70</v>
      </c>
      <c r="F133" s="1">
        <v>3</v>
      </c>
      <c r="G133" s="1" t="s">
        <v>208</v>
      </c>
      <c r="H133" s="2">
        <v>6.87</v>
      </c>
      <c r="I133" s="2">
        <f t="shared" si="4"/>
        <v>20.61</v>
      </c>
    </row>
    <row r="134" spans="2:9" x14ac:dyDescent="0.25">
      <c r="B134" t="s">
        <v>64</v>
      </c>
      <c r="C134" t="s">
        <v>229</v>
      </c>
      <c r="D134" t="s">
        <v>231</v>
      </c>
      <c r="E134" t="s">
        <v>70</v>
      </c>
      <c r="F134" s="1">
        <v>10</v>
      </c>
      <c r="G134" s="1" t="s">
        <v>208</v>
      </c>
      <c r="H134" s="2">
        <f>57.7/20</f>
        <v>2.8850000000000002</v>
      </c>
      <c r="I134" s="2">
        <f t="shared" si="4"/>
        <v>28.85</v>
      </c>
    </row>
    <row r="135" spans="2:9" x14ac:dyDescent="0.25">
      <c r="B135" t="s">
        <v>64</v>
      </c>
      <c r="C135" t="s">
        <v>229</v>
      </c>
      <c r="D135" t="s">
        <v>232</v>
      </c>
      <c r="E135" t="s">
        <v>70</v>
      </c>
      <c r="F135" s="1">
        <v>9</v>
      </c>
      <c r="G135" s="1" t="s">
        <v>208</v>
      </c>
      <c r="H135" s="2">
        <v>3.59</v>
      </c>
      <c r="I135" s="2">
        <f t="shared" si="4"/>
        <v>32.31</v>
      </c>
    </row>
    <row r="136" spans="2:9" x14ac:dyDescent="0.25">
      <c r="B136" t="s">
        <v>64</v>
      </c>
      <c r="C136" t="s">
        <v>215</v>
      </c>
      <c r="D136" t="s">
        <v>233</v>
      </c>
      <c r="E136" t="s">
        <v>70</v>
      </c>
      <c r="F136" s="1">
        <v>2</v>
      </c>
      <c r="G136" s="1" t="s">
        <v>212</v>
      </c>
      <c r="H136" s="2">
        <f>23.9/30</f>
        <v>0.79666666666666663</v>
      </c>
      <c r="I136" s="2">
        <f t="shared" si="4"/>
        <v>1.5933333333333333</v>
      </c>
    </row>
    <row r="137" spans="2:9" x14ac:dyDescent="0.25">
      <c r="B137" t="s">
        <v>64</v>
      </c>
      <c r="C137" t="s">
        <v>215</v>
      </c>
      <c r="D137" t="s">
        <v>234</v>
      </c>
      <c r="E137" t="s">
        <v>12</v>
      </c>
      <c r="F137" s="1">
        <v>1</v>
      </c>
      <c r="G137" s="1" t="s">
        <v>208</v>
      </c>
      <c r="H137" s="2">
        <v>7</v>
      </c>
      <c r="I137" s="2">
        <f t="shared" si="4"/>
        <v>7</v>
      </c>
    </row>
    <row r="138" spans="2:9" x14ac:dyDescent="0.25">
      <c r="B138" t="s">
        <v>64</v>
      </c>
      <c r="C138" t="s">
        <v>236</v>
      </c>
      <c r="D138" t="s">
        <v>235</v>
      </c>
      <c r="E138" t="s">
        <v>70</v>
      </c>
      <c r="F138" s="1">
        <v>15</v>
      </c>
      <c r="G138" s="1" t="s">
        <v>212</v>
      </c>
      <c r="H138" s="2">
        <f>23/15</f>
        <v>1.5333333333333334</v>
      </c>
      <c r="I138" s="2">
        <f t="shared" si="4"/>
        <v>23</v>
      </c>
    </row>
    <row r="139" spans="2:9" x14ac:dyDescent="0.25">
      <c r="B139" t="s">
        <v>64</v>
      </c>
      <c r="C139" t="s">
        <v>236</v>
      </c>
      <c r="D139" t="s">
        <v>237</v>
      </c>
      <c r="E139" t="s">
        <v>70</v>
      </c>
      <c r="F139" s="1">
        <v>40</v>
      </c>
      <c r="G139" s="1" t="s">
        <v>212</v>
      </c>
      <c r="H139" s="2">
        <f>24.9/40</f>
        <v>0.62249999999999994</v>
      </c>
      <c r="I139" s="2">
        <f t="shared" si="4"/>
        <v>24.9</v>
      </c>
    </row>
    <row r="140" spans="2:9" x14ac:dyDescent="0.25">
      <c r="B140" t="s">
        <v>64</v>
      </c>
      <c r="C140" t="s">
        <v>236</v>
      </c>
      <c r="D140" t="s">
        <v>238</v>
      </c>
      <c r="E140" t="s">
        <v>70</v>
      </c>
      <c r="F140" s="1">
        <v>1</v>
      </c>
      <c r="G140" s="1" t="s">
        <v>212</v>
      </c>
      <c r="H140" s="2">
        <v>6.5</v>
      </c>
      <c r="I140" s="2">
        <f t="shared" si="4"/>
        <v>6.5</v>
      </c>
    </row>
    <row r="141" spans="2:9" x14ac:dyDescent="0.25">
      <c r="B141" t="s">
        <v>64</v>
      </c>
      <c r="C141" t="s">
        <v>65</v>
      </c>
      <c r="D141" t="s">
        <v>239</v>
      </c>
      <c r="E141" t="s">
        <v>240</v>
      </c>
      <c r="F141" s="1">
        <v>2</v>
      </c>
      <c r="G141" s="1" t="s">
        <v>208</v>
      </c>
      <c r="H141" s="2">
        <v>7.5</v>
      </c>
      <c r="I141" s="2">
        <f t="shared" si="4"/>
        <v>15</v>
      </c>
    </row>
    <row r="142" spans="2:9" x14ac:dyDescent="0.25">
      <c r="B142" t="s">
        <v>64</v>
      </c>
      <c r="C142" t="s">
        <v>65</v>
      </c>
      <c r="D142" t="s">
        <v>241</v>
      </c>
      <c r="E142" t="s">
        <v>242</v>
      </c>
      <c r="F142" s="1">
        <v>12</v>
      </c>
      <c r="G142" s="1" t="s">
        <v>212</v>
      </c>
      <c r="H142" s="2">
        <v>4.9000000000000004</v>
      </c>
      <c r="I142" s="2">
        <f t="shared" si="4"/>
        <v>58.800000000000004</v>
      </c>
    </row>
    <row r="143" spans="2:9" x14ac:dyDescent="0.25">
      <c r="B143" t="s">
        <v>1</v>
      </c>
      <c r="C143" t="s">
        <v>3</v>
      </c>
      <c r="D143" t="s">
        <v>10</v>
      </c>
      <c r="E143" t="s">
        <v>8</v>
      </c>
      <c r="F143" s="1">
        <v>1.1599999999999999</v>
      </c>
      <c r="G143" s="1" t="s">
        <v>207</v>
      </c>
      <c r="H143" s="2">
        <v>9.7899999999999991</v>
      </c>
      <c r="I143" s="2">
        <f t="shared" si="4"/>
        <v>11.356399999999999</v>
      </c>
    </row>
    <row r="144" spans="2:9" x14ac:dyDescent="0.25">
      <c r="B144" t="s">
        <v>1</v>
      </c>
      <c r="C144" t="s">
        <v>3</v>
      </c>
      <c r="D144" t="s">
        <v>11</v>
      </c>
      <c r="E144" t="s">
        <v>12</v>
      </c>
      <c r="F144" s="1">
        <v>0.3</v>
      </c>
      <c r="G144" s="1" t="s">
        <v>207</v>
      </c>
      <c r="H144" s="2">
        <v>6.98</v>
      </c>
      <c r="I144" s="2">
        <f t="shared" si="4"/>
        <v>2.0939999999999999</v>
      </c>
    </row>
    <row r="145" spans="2:9" x14ac:dyDescent="0.25">
      <c r="B145" t="s">
        <v>1</v>
      </c>
      <c r="C145" t="s">
        <v>3</v>
      </c>
      <c r="D145" t="s">
        <v>13</v>
      </c>
      <c r="E145" t="s">
        <v>8</v>
      </c>
      <c r="F145" s="1">
        <v>0.88</v>
      </c>
      <c r="G145" s="1" t="s">
        <v>207</v>
      </c>
      <c r="H145" s="2">
        <v>8.19</v>
      </c>
      <c r="I145" s="2">
        <f t="shared" si="4"/>
        <v>7.2071999999999994</v>
      </c>
    </row>
    <row r="146" spans="2:9" x14ac:dyDescent="0.25">
      <c r="B146" t="s">
        <v>1</v>
      </c>
      <c r="C146" t="s">
        <v>3</v>
      </c>
      <c r="D146" t="s">
        <v>14</v>
      </c>
      <c r="E146" t="s">
        <v>8</v>
      </c>
      <c r="F146" s="1">
        <v>0.35</v>
      </c>
      <c r="G146" s="1" t="s">
        <v>207</v>
      </c>
      <c r="H146" s="2">
        <v>9.1199999999999992</v>
      </c>
      <c r="I146" s="2">
        <f t="shared" si="4"/>
        <v>3.1919999999999997</v>
      </c>
    </row>
    <row r="147" spans="2:9" x14ac:dyDescent="0.25">
      <c r="B147" t="s">
        <v>1</v>
      </c>
      <c r="C147" t="s">
        <v>3</v>
      </c>
      <c r="D147" t="s">
        <v>15</v>
      </c>
      <c r="E147" t="s">
        <v>8</v>
      </c>
      <c r="F147" s="1">
        <v>2.62</v>
      </c>
      <c r="G147" s="1" t="s">
        <v>207</v>
      </c>
      <c r="H147" s="2">
        <v>6.07</v>
      </c>
      <c r="I147" s="2">
        <f t="shared" si="4"/>
        <v>15.903400000000001</v>
      </c>
    </row>
    <row r="148" spans="2:9" x14ac:dyDescent="0.25">
      <c r="B148" t="s">
        <v>1</v>
      </c>
      <c r="C148" t="s">
        <v>16</v>
      </c>
      <c r="D148" t="s">
        <v>17</v>
      </c>
      <c r="E148" t="s">
        <v>12</v>
      </c>
      <c r="F148" s="1">
        <v>0.43</v>
      </c>
      <c r="G148" s="1" t="s">
        <v>207</v>
      </c>
      <c r="H148" s="2">
        <v>18.59</v>
      </c>
      <c r="I148" s="2">
        <f t="shared" si="4"/>
        <v>7.9936999999999996</v>
      </c>
    </row>
    <row r="149" spans="2:9" x14ac:dyDescent="0.25">
      <c r="B149" t="s">
        <v>1</v>
      </c>
      <c r="C149" t="s">
        <v>16</v>
      </c>
      <c r="D149" t="s">
        <v>18</v>
      </c>
      <c r="E149" t="s">
        <v>19</v>
      </c>
      <c r="F149" s="1">
        <v>2.3199999999999998</v>
      </c>
      <c r="G149" s="1" t="s">
        <v>207</v>
      </c>
      <c r="H149" s="2">
        <v>15.89</v>
      </c>
      <c r="I149" s="2">
        <f t="shared" si="4"/>
        <v>36.864799999999995</v>
      </c>
    </row>
    <row r="150" spans="2:9" x14ac:dyDescent="0.25">
      <c r="B150" t="s">
        <v>1</v>
      </c>
      <c r="C150" t="s">
        <v>16</v>
      </c>
      <c r="D150" t="s">
        <v>20</v>
      </c>
      <c r="E150" t="s">
        <v>19</v>
      </c>
      <c r="F150" s="1">
        <v>1</v>
      </c>
      <c r="G150" s="1" t="s">
        <v>208</v>
      </c>
      <c r="H150" s="2">
        <v>4.33</v>
      </c>
      <c r="I150" s="2">
        <f t="shared" si="4"/>
        <v>4.33</v>
      </c>
    </row>
    <row r="151" spans="2:9" x14ac:dyDescent="0.25">
      <c r="B151" t="s">
        <v>1</v>
      </c>
      <c r="C151" t="s">
        <v>16</v>
      </c>
      <c r="D151" t="s">
        <v>21</v>
      </c>
      <c r="E151" t="s">
        <v>12</v>
      </c>
      <c r="F151" s="1">
        <v>0.35</v>
      </c>
      <c r="G151" s="1" t="s">
        <v>207</v>
      </c>
      <c r="H151" s="2">
        <v>6.49</v>
      </c>
      <c r="I151" s="2">
        <f t="shared" si="4"/>
        <v>2.2715000000000001</v>
      </c>
    </row>
    <row r="152" spans="2:9" x14ac:dyDescent="0.25">
      <c r="B152" t="s">
        <v>1</v>
      </c>
      <c r="C152" t="s">
        <v>23</v>
      </c>
      <c r="D152" t="s">
        <v>22</v>
      </c>
      <c r="E152" t="s">
        <v>19</v>
      </c>
      <c r="F152" s="1">
        <v>0.2</v>
      </c>
      <c r="G152" s="1" t="s">
        <v>207</v>
      </c>
      <c r="H152" s="2">
        <v>19.16</v>
      </c>
      <c r="I152" s="2">
        <f t="shared" si="4"/>
        <v>3.8320000000000003</v>
      </c>
    </row>
    <row r="153" spans="2:9" x14ac:dyDescent="0.25">
      <c r="B153" t="s">
        <v>1</v>
      </c>
      <c r="C153" t="s">
        <v>3</v>
      </c>
      <c r="D153" t="s">
        <v>24</v>
      </c>
      <c r="E153" t="s">
        <v>19</v>
      </c>
      <c r="F153" s="1">
        <v>0.33300000000000002</v>
      </c>
      <c r="G153" s="1" t="s">
        <v>207</v>
      </c>
      <c r="H153" s="2">
        <v>13.19</v>
      </c>
      <c r="I153" s="2">
        <f t="shared" si="4"/>
        <v>4.3922699999999999</v>
      </c>
    </row>
    <row r="154" spans="2:9" x14ac:dyDescent="0.25">
      <c r="B154" t="s">
        <v>1</v>
      </c>
      <c r="C154" t="s">
        <v>3</v>
      </c>
      <c r="D154" t="s">
        <v>25</v>
      </c>
      <c r="E154" t="s">
        <v>12</v>
      </c>
      <c r="F154" s="1">
        <v>0.61</v>
      </c>
      <c r="G154" s="1" t="s">
        <v>207</v>
      </c>
      <c r="H154" s="2">
        <v>10.98</v>
      </c>
      <c r="I154" s="2">
        <f t="shared" si="4"/>
        <v>6.6978</v>
      </c>
    </row>
    <row r="155" spans="2:9" x14ac:dyDescent="0.25">
      <c r="B155" t="s">
        <v>1</v>
      </c>
      <c r="C155" t="s">
        <v>16</v>
      </c>
      <c r="D155" t="s">
        <v>26</v>
      </c>
      <c r="E155" t="s">
        <v>19</v>
      </c>
      <c r="F155" s="1">
        <v>0.623</v>
      </c>
      <c r="G155" s="1" t="s">
        <v>208</v>
      </c>
      <c r="H155" s="2">
        <v>9.36</v>
      </c>
      <c r="I155" s="2">
        <f t="shared" si="4"/>
        <v>5.8312799999999996</v>
      </c>
    </row>
    <row r="156" spans="2:9" x14ac:dyDescent="0.25">
      <c r="B156" t="s">
        <v>1</v>
      </c>
      <c r="C156" t="s">
        <v>27</v>
      </c>
      <c r="D156" t="s">
        <v>28</v>
      </c>
      <c r="E156" t="s">
        <v>19</v>
      </c>
      <c r="F156" s="6">
        <v>0.2</v>
      </c>
      <c r="G156" s="1" t="s">
        <v>208</v>
      </c>
      <c r="H156" s="2">
        <v>14.9</v>
      </c>
      <c r="I156" s="2">
        <f t="shared" si="4"/>
        <v>2.9800000000000004</v>
      </c>
    </row>
    <row r="157" spans="2:9" x14ac:dyDescent="0.25">
      <c r="B157" t="s">
        <v>1</v>
      </c>
      <c r="C157" t="s">
        <v>23</v>
      </c>
      <c r="D157" t="s">
        <v>29</v>
      </c>
      <c r="E157" t="s">
        <v>19</v>
      </c>
      <c r="F157" s="6">
        <v>0.66</v>
      </c>
      <c r="G157" s="1" t="s">
        <v>208</v>
      </c>
      <c r="H157" s="2">
        <v>49.51</v>
      </c>
      <c r="I157" s="2">
        <f t="shared" si="4"/>
        <v>32.676600000000001</v>
      </c>
    </row>
    <row r="158" spans="2:9" x14ac:dyDescent="0.25">
      <c r="B158" t="s">
        <v>1</v>
      </c>
      <c r="C158" t="s">
        <v>27</v>
      </c>
      <c r="D158" t="s">
        <v>30</v>
      </c>
      <c r="E158" t="s">
        <v>12</v>
      </c>
      <c r="F158" s="1">
        <v>1</v>
      </c>
      <c r="G158" s="1" t="s">
        <v>208</v>
      </c>
      <c r="H158" s="2">
        <v>5.99</v>
      </c>
      <c r="I158" s="2">
        <f t="shared" si="4"/>
        <v>5.99</v>
      </c>
    </row>
    <row r="159" spans="2:9" x14ac:dyDescent="0.25">
      <c r="B159" t="s">
        <v>1</v>
      </c>
      <c r="C159" t="s">
        <v>27</v>
      </c>
      <c r="D159" t="s">
        <v>31</v>
      </c>
      <c r="E159" t="s">
        <v>12</v>
      </c>
      <c r="F159" s="1">
        <v>1</v>
      </c>
      <c r="G159" s="1" t="s">
        <v>208</v>
      </c>
      <c r="H159" s="2">
        <v>6.09</v>
      </c>
      <c r="I159" s="2">
        <f t="shared" si="4"/>
        <v>6.09</v>
      </c>
    </row>
    <row r="160" spans="2:9" x14ac:dyDescent="0.25">
      <c r="B160" t="s">
        <v>1</v>
      </c>
      <c r="C160" t="s">
        <v>27</v>
      </c>
      <c r="D160" t="s">
        <v>32</v>
      </c>
      <c r="E160" t="s">
        <v>12</v>
      </c>
      <c r="F160" s="1">
        <v>1</v>
      </c>
      <c r="G160" s="1" t="s">
        <v>208</v>
      </c>
      <c r="H160" s="2">
        <v>5.59</v>
      </c>
      <c r="I160" s="2">
        <f t="shared" si="4"/>
        <v>5.59</v>
      </c>
    </row>
    <row r="161" spans="2:9" x14ac:dyDescent="0.25">
      <c r="B161" t="s">
        <v>1</v>
      </c>
      <c r="C161" t="s">
        <v>27</v>
      </c>
      <c r="D161" t="s">
        <v>33</v>
      </c>
      <c r="E161" t="s">
        <v>12</v>
      </c>
      <c r="F161" s="1">
        <v>2</v>
      </c>
      <c r="G161" s="1" t="s">
        <v>208</v>
      </c>
      <c r="H161" s="2">
        <v>3.9</v>
      </c>
      <c r="I161" s="2">
        <f t="shared" si="4"/>
        <v>7.8</v>
      </c>
    </row>
    <row r="162" spans="2:9" x14ac:dyDescent="0.25">
      <c r="B162" t="s">
        <v>1</v>
      </c>
      <c r="C162" t="s">
        <v>27</v>
      </c>
      <c r="D162" t="s">
        <v>34</v>
      </c>
      <c r="E162" t="s">
        <v>19</v>
      </c>
      <c r="F162" s="1">
        <v>1</v>
      </c>
      <c r="G162" s="1" t="s">
        <v>208</v>
      </c>
      <c r="H162" s="2">
        <v>5.38</v>
      </c>
      <c r="I162" s="2">
        <f t="shared" si="4"/>
        <v>5.38</v>
      </c>
    </row>
    <row r="163" spans="2:9" x14ac:dyDescent="0.25">
      <c r="B163" t="s">
        <v>1</v>
      </c>
      <c r="C163" t="s">
        <v>27</v>
      </c>
      <c r="D163" t="s">
        <v>35</v>
      </c>
      <c r="E163" t="s">
        <v>19</v>
      </c>
      <c r="F163" s="1">
        <v>1</v>
      </c>
      <c r="G163" s="1" t="s">
        <v>208</v>
      </c>
      <c r="H163" s="2">
        <v>8.14</v>
      </c>
      <c r="I163" s="2">
        <f t="shared" ref="I163:I194" si="5">H163*F163</f>
        <v>8.14</v>
      </c>
    </row>
    <row r="164" spans="2:9" x14ac:dyDescent="0.25">
      <c r="B164" t="s">
        <v>1</v>
      </c>
      <c r="C164" t="s">
        <v>23</v>
      </c>
      <c r="D164" t="s">
        <v>36</v>
      </c>
      <c r="E164" t="s">
        <v>12</v>
      </c>
      <c r="F164" s="1">
        <v>1</v>
      </c>
      <c r="G164" s="1" t="s">
        <v>208</v>
      </c>
      <c r="H164" s="2">
        <v>7.59</v>
      </c>
      <c r="I164" s="2">
        <f t="shared" si="5"/>
        <v>7.59</v>
      </c>
    </row>
    <row r="165" spans="2:9" x14ac:dyDescent="0.25">
      <c r="B165" t="s">
        <v>1</v>
      </c>
      <c r="C165" t="s">
        <v>37</v>
      </c>
      <c r="D165" t="s">
        <v>38</v>
      </c>
      <c r="E165" t="s">
        <v>12</v>
      </c>
      <c r="F165" s="1">
        <v>6</v>
      </c>
      <c r="G165" s="1" t="s">
        <v>207</v>
      </c>
      <c r="H165" s="2">
        <f>4.69/2.5</f>
        <v>1.8760000000000001</v>
      </c>
      <c r="I165" s="2">
        <f t="shared" si="5"/>
        <v>11.256</v>
      </c>
    </row>
    <row r="166" spans="2:9" x14ac:dyDescent="0.25">
      <c r="B166" t="s">
        <v>1</v>
      </c>
      <c r="C166" t="s">
        <v>39</v>
      </c>
      <c r="D166" t="s">
        <v>40</v>
      </c>
      <c r="E166" t="s">
        <v>19</v>
      </c>
      <c r="F166" s="1">
        <v>0.3</v>
      </c>
      <c r="G166" s="1" t="s">
        <v>208</v>
      </c>
      <c r="H166" s="2">
        <f>12.55/1.25</f>
        <v>10.040000000000001</v>
      </c>
      <c r="I166" s="2">
        <f t="shared" si="5"/>
        <v>3.012</v>
      </c>
    </row>
    <row r="167" spans="2:9" x14ac:dyDescent="0.25">
      <c r="B167" t="s">
        <v>1</v>
      </c>
      <c r="C167" t="s">
        <v>52</v>
      </c>
      <c r="D167" t="s">
        <v>42</v>
      </c>
      <c r="E167" t="s">
        <v>12</v>
      </c>
      <c r="F167" s="1">
        <v>2</v>
      </c>
      <c r="G167" s="1" t="s">
        <v>208</v>
      </c>
      <c r="H167" s="2">
        <v>2.99</v>
      </c>
      <c r="I167" s="2">
        <f t="shared" si="5"/>
        <v>5.98</v>
      </c>
    </row>
    <row r="168" spans="2:9" x14ac:dyDescent="0.25">
      <c r="B168" t="s">
        <v>1</v>
      </c>
      <c r="C168" t="s">
        <v>37</v>
      </c>
      <c r="D168" t="s">
        <v>43</v>
      </c>
      <c r="E168" t="s">
        <v>19</v>
      </c>
      <c r="F168" s="1">
        <v>6.07</v>
      </c>
      <c r="G168" s="1" t="s">
        <v>207</v>
      </c>
      <c r="H168" s="2">
        <v>3</v>
      </c>
      <c r="I168" s="2">
        <f t="shared" si="5"/>
        <v>18.21</v>
      </c>
    </row>
    <row r="169" spans="2:9" x14ac:dyDescent="0.25">
      <c r="B169" t="s">
        <v>1</v>
      </c>
      <c r="C169" t="s">
        <v>37</v>
      </c>
      <c r="D169" t="s">
        <v>44</v>
      </c>
      <c r="E169" t="s">
        <v>19</v>
      </c>
      <c r="F169" s="1">
        <v>5</v>
      </c>
      <c r="G169" s="1" t="s">
        <v>207</v>
      </c>
      <c r="H169" s="2">
        <v>11.52</v>
      </c>
      <c r="I169" s="2">
        <f t="shared" si="5"/>
        <v>57.599999999999994</v>
      </c>
    </row>
    <row r="170" spans="2:9" x14ac:dyDescent="0.25">
      <c r="B170" t="s">
        <v>1</v>
      </c>
      <c r="C170" t="s">
        <v>37</v>
      </c>
      <c r="D170" t="s">
        <v>45</v>
      </c>
      <c r="E170" t="s">
        <v>19</v>
      </c>
      <c r="F170" s="1">
        <v>1</v>
      </c>
      <c r="G170" s="1" t="s">
        <v>207</v>
      </c>
      <c r="H170" s="2">
        <v>4.67</v>
      </c>
      <c r="I170" s="2">
        <f t="shared" si="5"/>
        <v>4.67</v>
      </c>
    </row>
    <row r="171" spans="2:9" x14ac:dyDescent="0.25">
      <c r="B171" t="s">
        <v>1</v>
      </c>
      <c r="C171" t="s">
        <v>37</v>
      </c>
      <c r="D171" t="s">
        <v>46</v>
      </c>
      <c r="E171" t="s">
        <v>19</v>
      </c>
      <c r="F171" s="1">
        <v>1</v>
      </c>
      <c r="G171" s="1" t="s">
        <v>207</v>
      </c>
      <c r="H171" s="2">
        <v>14.84</v>
      </c>
      <c r="I171" s="2">
        <f t="shared" si="5"/>
        <v>14.84</v>
      </c>
    </row>
    <row r="172" spans="2:9" x14ac:dyDescent="0.25">
      <c r="B172" t="s">
        <v>1</v>
      </c>
      <c r="C172" t="s">
        <v>47</v>
      </c>
      <c r="D172" t="s">
        <v>209</v>
      </c>
      <c r="E172" t="s">
        <v>19</v>
      </c>
      <c r="F172" s="1">
        <v>0.7</v>
      </c>
      <c r="G172" s="1" t="s">
        <v>207</v>
      </c>
      <c r="H172" s="2">
        <v>9.59</v>
      </c>
      <c r="I172" s="2">
        <f t="shared" si="5"/>
        <v>6.7129999999999992</v>
      </c>
    </row>
    <row r="173" spans="2:9" x14ac:dyDescent="0.25">
      <c r="B173" t="s">
        <v>1</v>
      </c>
      <c r="C173" t="s">
        <v>48</v>
      </c>
      <c r="D173" t="s">
        <v>49</v>
      </c>
      <c r="E173" t="s">
        <v>19</v>
      </c>
      <c r="F173" s="1">
        <v>1</v>
      </c>
      <c r="G173" s="1" t="s">
        <v>210</v>
      </c>
      <c r="H173" s="2">
        <v>8.42</v>
      </c>
      <c r="I173" s="2">
        <f t="shared" si="5"/>
        <v>8.42</v>
      </c>
    </row>
    <row r="174" spans="2:9" x14ac:dyDescent="0.25">
      <c r="B174" t="s">
        <v>1</v>
      </c>
      <c r="C174" t="s">
        <v>27</v>
      </c>
      <c r="D174" t="s">
        <v>50</v>
      </c>
      <c r="E174" t="s">
        <v>12</v>
      </c>
      <c r="F174" s="1">
        <v>4</v>
      </c>
      <c r="G174" s="1" t="s">
        <v>208</v>
      </c>
      <c r="H174" s="2">
        <v>2.69</v>
      </c>
      <c r="I174" s="2">
        <f t="shared" si="5"/>
        <v>10.76</v>
      </c>
    </row>
    <row r="175" spans="2:9" x14ac:dyDescent="0.25">
      <c r="B175" t="s">
        <v>1</v>
      </c>
      <c r="C175" t="s">
        <v>48</v>
      </c>
      <c r="D175" t="s">
        <v>211</v>
      </c>
      <c r="E175" t="s">
        <v>12</v>
      </c>
      <c r="F175" s="1">
        <v>1</v>
      </c>
      <c r="G175" s="1" t="s">
        <v>208</v>
      </c>
      <c r="H175" s="2">
        <v>2.0499999999999998</v>
      </c>
      <c r="I175" s="2">
        <f t="shared" si="5"/>
        <v>2.0499999999999998</v>
      </c>
    </row>
    <row r="176" spans="2:9" x14ac:dyDescent="0.25">
      <c r="B176" t="s">
        <v>1</v>
      </c>
      <c r="C176" t="s">
        <v>41</v>
      </c>
      <c r="D176" t="s">
        <v>51</v>
      </c>
      <c r="E176" t="s">
        <v>12</v>
      </c>
      <c r="F176" s="1">
        <v>1</v>
      </c>
      <c r="G176" s="1" t="s">
        <v>208</v>
      </c>
      <c r="H176" s="2">
        <v>4.3499999999999996</v>
      </c>
      <c r="I176" s="2">
        <f t="shared" si="5"/>
        <v>4.3499999999999996</v>
      </c>
    </row>
    <row r="177" spans="2:9" x14ac:dyDescent="0.25">
      <c r="B177" t="s">
        <v>1</v>
      </c>
      <c r="C177" t="s">
        <v>41</v>
      </c>
      <c r="D177" t="s">
        <v>68</v>
      </c>
      <c r="E177" t="s">
        <v>8</v>
      </c>
      <c r="F177" s="1">
        <v>10</v>
      </c>
      <c r="G177" s="1" t="s">
        <v>207</v>
      </c>
      <c r="H177" s="2">
        <v>3.34</v>
      </c>
      <c r="I177" s="2">
        <f t="shared" si="5"/>
        <v>33.4</v>
      </c>
    </row>
    <row r="178" spans="2:9" x14ac:dyDescent="0.25">
      <c r="B178" t="s">
        <v>1</v>
      </c>
      <c r="C178" t="s">
        <v>52</v>
      </c>
      <c r="D178" t="s">
        <v>53</v>
      </c>
      <c r="E178" t="s">
        <v>19</v>
      </c>
      <c r="F178" s="1">
        <v>3</v>
      </c>
      <c r="G178" s="1" t="s">
        <v>208</v>
      </c>
      <c r="H178" s="2">
        <v>4.76</v>
      </c>
      <c r="I178" s="2">
        <f t="shared" si="5"/>
        <v>14.28</v>
      </c>
    </row>
    <row r="179" spans="2:9" x14ac:dyDescent="0.25">
      <c r="B179" t="s">
        <v>1</v>
      </c>
      <c r="C179" t="s">
        <v>37</v>
      </c>
      <c r="D179" t="s">
        <v>54</v>
      </c>
      <c r="E179" t="s">
        <v>19</v>
      </c>
      <c r="F179" s="1">
        <v>4</v>
      </c>
      <c r="G179" s="1" t="s">
        <v>208</v>
      </c>
      <c r="H179" s="2">
        <v>1.93</v>
      </c>
      <c r="I179" s="2">
        <f t="shared" si="5"/>
        <v>7.72</v>
      </c>
    </row>
    <row r="180" spans="2:9" x14ac:dyDescent="0.25">
      <c r="B180" t="s">
        <v>1</v>
      </c>
      <c r="C180" t="s">
        <v>23</v>
      </c>
      <c r="D180" t="s">
        <v>55</v>
      </c>
      <c r="E180" t="s">
        <v>12</v>
      </c>
      <c r="F180" s="1">
        <v>1</v>
      </c>
      <c r="G180" s="1" t="s">
        <v>208</v>
      </c>
      <c r="H180" s="2">
        <v>22.59</v>
      </c>
      <c r="I180" s="2">
        <f t="shared" si="5"/>
        <v>22.59</v>
      </c>
    </row>
    <row r="181" spans="2:9" x14ac:dyDescent="0.25">
      <c r="B181" t="s">
        <v>1</v>
      </c>
      <c r="C181" t="s">
        <v>52</v>
      </c>
      <c r="D181" t="s">
        <v>56</v>
      </c>
      <c r="E181" t="s">
        <v>19</v>
      </c>
      <c r="F181" s="1">
        <v>5</v>
      </c>
      <c r="G181" s="1" t="s">
        <v>212</v>
      </c>
      <c r="H181" s="2">
        <v>1.93</v>
      </c>
      <c r="I181" s="2">
        <f t="shared" si="5"/>
        <v>9.65</v>
      </c>
    </row>
    <row r="182" spans="2:9" x14ac:dyDescent="0.25">
      <c r="B182" t="s">
        <v>1</v>
      </c>
      <c r="C182" t="s">
        <v>52</v>
      </c>
      <c r="D182" t="s">
        <v>57</v>
      </c>
      <c r="E182" t="s">
        <v>19</v>
      </c>
      <c r="F182" s="1">
        <v>25</v>
      </c>
      <c r="G182" s="1" t="s">
        <v>212</v>
      </c>
      <c r="H182" s="2">
        <v>3.7</v>
      </c>
      <c r="I182" s="2">
        <f t="shared" si="5"/>
        <v>92.5</v>
      </c>
    </row>
    <row r="183" spans="2:9" x14ac:dyDescent="0.25">
      <c r="B183" t="s">
        <v>1</v>
      </c>
      <c r="C183" t="s">
        <v>47</v>
      </c>
      <c r="D183" t="s">
        <v>58</v>
      </c>
      <c r="E183" t="s">
        <v>19</v>
      </c>
      <c r="F183" s="1">
        <v>2</v>
      </c>
      <c r="G183" s="1" t="s">
        <v>207</v>
      </c>
      <c r="H183" s="2">
        <v>7</v>
      </c>
      <c r="I183" s="2">
        <f t="shared" si="5"/>
        <v>14</v>
      </c>
    </row>
    <row r="184" spans="2:9" x14ac:dyDescent="0.25">
      <c r="B184" t="s">
        <v>1</v>
      </c>
      <c r="C184" t="s">
        <v>47</v>
      </c>
      <c r="D184" t="s">
        <v>59</v>
      </c>
      <c r="E184" t="s">
        <v>19</v>
      </c>
      <c r="F184" s="1">
        <v>4</v>
      </c>
      <c r="G184" s="1" t="s">
        <v>207</v>
      </c>
      <c r="H184" s="2">
        <v>4.76</v>
      </c>
      <c r="I184" s="2">
        <f t="shared" si="5"/>
        <v>19.04</v>
      </c>
    </row>
    <row r="185" spans="2:9" x14ac:dyDescent="0.25">
      <c r="B185" t="s">
        <v>1</v>
      </c>
      <c r="C185" t="s">
        <v>23</v>
      </c>
      <c r="D185" t="s">
        <v>60</v>
      </c>
      <c r="F185" s="1">
        <v>15</v>
      </c>
      <c r="G185" s="1" t="s">
        <v>212</v>
      </c>
      <c r="H185" s="2">
        <v>1</v>
      </c>
      <c r="I185" s="2">
        <f t="shared" si="5"/>
        <v>15</v>
      </c>
    </row>
    <row r="186" spans="2:9" x14ac:dyDescent="0.25">
      <c r="B186" t="s">
        <v>1</v>
      </c>
      <c r="C186" t="s">
        <v>61</v>
      </c>
      <c r="D186" t="s">
        <v>62</v>
      </c>
      <c r="F186" s="1">
        <v>2</v>
      </c>
      <c r="G186" s="1" t="s">
        <v>207</v>
      </c>
      <c r="H186" s="2">
        <v>12</v>
      </c>
      <c r="I186" s="2">
        <f t="shared" si="5"/>
        <v>24</v>
      </c>
    </row>
    <row r="187" spans="2:9" x14ac:dyDescent="0.25">
      <c r="B187" t="s">
        <v>1</v>
      </c>
      <c r="C187" t="s">
        <v>61</v>
      </c>
      <c r="D187" t="s">
        <v>63</v>
      </c>
      <c r="F187" s="1">
        <v>0.5</v>
      </c>
      <c r="G187" s="1" t="s">
        <v>207</v>
      </c>
      <c r="H187" s="2">
        <v>12</v>
      </c>
      <c r="I187" s="2">
        <f t="shared" si="5"/>
        <v>6</v>
      </c>
    </row>
  </sheetData>
  <autoFilter ref="B2:I2" xr:uid="{3EAF38D7-0790-4469-9409-F651DC9D9719}">
    <sortState xmlns:xlrd2="http://schemas.microsoft.com/office/spreadsheetml/2017/richdata2" ref="B3:I187">
      <sortCondition ref="B2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nedo splendiani</dc:creator>
  <cp:lastModifiedBy>nedo splendiani</cp:lastModifiedBy>
  <dcterms:created xsi:type="dcterms:W3CDTF">2026-09-07T16:26:53Z</dcterms:created>
  <dcterms:modified xsi:type="dcterms:W3CDTF">2026-09-21T16:38:17Z</dcterms:modified>
</cp:coreProperties>
</file>